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git\luxai\simple\"/>
    </mc:Choice>
  </mc:AlternateContent>
  <xr:revisionPtr revIDLastSave="0" documentId="13_ncr:1_{EC7607A9-E1FA-41FB-9E8D-72A5F5B44DAB}" xr6:coauthVersionLast="47" xr6:coauthVersionMax="47" xr10:uidLastSave="{00000000-0000-0000-0000-000000000000}"/>
  <bookViews>
    <workbookView xWindow="-108" yWindow="-108" windowWidth="23256" windowHeight="12576" firstSheet="2" activeTab="3" xr2:uid="{00000000-000D-0000-FFFF-FFFF00000000}"/>
  </bookViews>
  <sheets>
    <sheet name="light" sheetId="1" r:id="rId1"/>
    <sheet name="imitate" sheetId="2" r:id="rId2"/>
    <sheet name="summary" sheetId="3" r:id="rId3"/>
    <sheet name="Sheet1" sheetId="5" r:id="rId4"/>
    <sheet name="Sheet2" sheetId="6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53" i="3" l="1"/>
  <c r="G153" i="3"/>
  <c r="I153" i="3" s="1"/>
  <c r="H158" i="3"/>
  <c r="G158" i="3"/>
  <c r="I158" i="3" s="1"/>
  <c r="H155" i="3"/>
  <c r="G155" i="3"/>
  <c r="I155" i="3" s="1"/>
  <c r="H157" i="3"/>
  <c r="G157" i="3"/>
  <c r="I157" i="3" s="1"/>
  <c r="K140" i="3"/>
  <c r="L140" i="3" s="1"/>
  <c r="G156" i="3"/>
  <c r="I156" i="3" s="1"/>
  <c r="G154" i="3"/>
  <c r="I154" i="3" s="1"/>
  <c r="G152" i="3"/>
  <c r="G151" i="3"/>
  <c r="G150" i="3"/>
  <c r="K157" i="3"/>
  <c r="L157" i="3" s="1"/>
  <c r="K155" i="3"/>
  <c r="L155" i="3" s="1"/>
  <c r="G166" i="3"/>
  <c r="I166" i="3" s="1"/>
  <c r="H166" i="3"/>
  <c r="K163" i="3"/>
  <c r="K162" i="3"/>
  <c r="K161" i="3"/>
  <c r="K158" i="3"/>
  <c r="L158" i="3" s="1"/>
  <c r="K154" i="3"/>
  <c r="K153" i="3"/>
  <c r="L153" i="3" s="1"/>
  <c r="K156" i="3"/>
  <c r="H156" i="3"/>
  <c r="H152" i="3"/>
  <c r="H151" i="3"/>
  <c r="H150" i="3"/>
  <c r="H149" i="3"/>
  <c r="I152" i="3"/>
  <c r="I151" i="3"/>
  <c r="I150" i="3"/>
  <c r="G149" i="3"/>
  <c r="I149" i="3" s="1"/>
  <c r="K166" i="3"/>
  <c r="L166" i="3" s="1"/>
  <c r="H154" i="3"/>
  <c r="G147" i="3"/>
  <c r="I147" i="3" s="1"/>
  <c r="G146" i="3"/>
  <c r="G145" i="3"/>
  <c r="G144" i="3"/>
  <c r="G143" i="3"/>
  <c r="G142" i="3"/>
  <c r="G141" i="3"/>
  <c r="H165" i="3"/>
  <c r="H164" i="3"/>
  <c r="H163" i="3"/>
  <c r="H162" i="3"/>
  <c r="H161" i="3"/>
  <c r="G165" i="3"/>
  <c r="I165" i="3" s="1"/>
  <c r="G163" i="3"/>
  <c r="I163" i="3" s="1"/>
  <c r="G162" i="3"/>
  <c r="I162" i="3" s="1"/>
  <c r="G161" i="3"/>
  <c r="I161" i="3" s="1"/>
  <c r="G160" i="3"/>
  <c r="I160" i="3" s="1"/>
  <c r="K148" i="3"/>
  <c r="L148" i="3" s="1"/>
  <c r="H148" i="3"/>
  <c r="G148" i="3"/>
  <c r="I148" i="3" s="1"/>
  <c r="K139" i="3"/>
  <c r="K165" i="3"/>
  <c r="H160" i="3"/>
  <c r="G164" i="3"/>
  <c r="I164" i="3" s="1"/>
  <c r="H146" i="3"/>
  <c r="K147" i="3"/>
  <c r="L147" i="3" s="1"/>
  <c r="H147" i="3"/>
  <c r="K49" i="3"/>
  <c r="K50" i="3"/>
  <c r="K53" i="3"/>
  <c r="K55" i="3"/>
  <c r="K59" i="3"/>
  <c r="K58" i="3"/>
  <c r="K57" i="3"/>
  <c r="K56" i="3"/>
  <c r="K160" i="3"/>
  <c r="K164" i="3"/>
  <c r="K146" i="3"/>
  <c r="L146" i="3" s="1"/>
  <c r="I146" i="3"/>
  <c r="H145" i="3"/>
  <c r="I145" i="3"/>
  <c r="L165" i="3" l="1"/>
  <c r="L156" i="3"/>
  <c r="L139" i="3"/>
  <c r="L160" i="3"/>
  <c r="L164" i="3"/>
  <c r="L154" i="3"/>
  <c r="I144" i="3" l="1"/>
  <c r="I143" i="3"/>
  <c r="I142" i="3"/>
  <c r="I141" i="3"/>
  <c r="G138" i="3"/>
  <c r="I138" i="3" s="1"/>
  <c r="G137" i="3"/>
  <c r="I137" i="3" s="1"/>
  <c r="G136" i="3"/>
  <c r="I136" i="3" s="1"/>
  <c r="G135" i="3"/>
  <c r="I135" i="3" s="1"/>
  <c r="G134" i="3"/>
  <c r="G133" i="3"/>
  <c r="I133" i="3" s="1"/>
  <c r="G132" i="3"/>
  <c r="G131" i="3"/>
  <c r="I131" i="3" s="1"/>
  <c r="G130" i="3"/>
  <c r="I130" i="3" s="1"/>
  <c r="G129" i="3"/>
  <c r="I129" i="3" s="1"/>
  <c r="G128" i="3"/>
  <c r="I128" i="3" s="1"/>
  <c r="G127" i="3"/>
  <c r="I127" i="3" s="1"/>
  <c r="H131" i="3"/>
  <c r="H144" i="3"/>
  <c r="H143" i="3"/>
  <c r="H142" i="3"/>
  <c r="H141" i="3"/>
  <c r="H138" i="3"/>
  <c r="H137" i="3"/>
  <c r="H136" i="3"/>
  <c r="H135" i="3"/>
  <c r="H134" i="3"/>
  <c r="H133" i="3"/>
  <c r="H132" i="3"/>
  <c r="H130" i="3"/>
  <c r="H129" i="3"/>
  <c r="H128" i="3"/>
  <c r="H127" i="3"/>
  <c r="K144" i="3"/>
  <c r="L144" i="3" s="1"/>
  <c r="K143" i="3"/>
  <c r="K138" i="3"/>
  <c r="A141" i="3"/>
  <c r="K141" i="3" s="1"/>
  <c r="L141" i="3" s="1"/>
  <c r="I134" i="3"/>
  <c r="K137" i="3"/>
  <c r="L137" i="3" s="1"/>
  <c r="K136" i="3"/>
  <c r="L136" i="3" s="1"/>
  <c r="L135" i="3"/>
  <c r="K134" i="3"/>
  <c r="L134" i="3" s="1"/>
  <c r="L133" i="3"/>
  <c r="L76" i="3"/>
  <c r="L98" i="3"/>
  <c r="G90" i="3"/>
  <c r="I90" i="3" s="1"/>
  <c r="G91" i="3"/>
  <c r="I91" i="3" s="1"/>
  <c r="K88" i="3"/>
  <c r="L88" i="3" s="1"/>
  <c r="K87" i="3"/>
  <c r="L87" i="3" s="1"/>
  <c r="L86" i="3"/>
  <c r="K85" i="3"/>
  <c r="L84" i="3"/>
  <c r="K83" i="3"/>
  <c r="L83" i="3" s="1"/>
  <c r="K82" i="3"/>
  <c r="K81" i="3"/>
  <c r="L80" i="3"/>
  <c r="L79" i="3"/>
  <c r="K65" i="3"/>
  <c r="K132" i="3"/>
  <c r="K131" i="3"/>
  <c r="K130" i="3"/>
  <c r="L129" i="3"/>
  <c r="L128" i="3"/>
  <c r="L127" i="3"/>
  <c r="L126" i="3"/>
  <c r="L125" i="3"/>
  <c r="K124" i="3"/>
  <c r="L123" i="3"/>
  <c r="L121" i="3"/>
  <c r="L118" i="3"/>
  <c r="K117" i="3"/>
  <c r="L117" i="3" s="1"/>
  <c r="L116" i="3"/>
  <c r="K115" i="3"/>
  <c r="K114" i="3"/>
  <c r="K113" i="3"/>
  <c r="K112" i="3"/>
  <c r="K111" i="3"/>
  <c r="K110" i="3"/>
  <c r="L110" i="3" s="1"/>
  <c r="L109" i="3"/>
  <c r="K108" i="3"/>
  <c r="L107" i="3"/>
  <c r="L106" i="3"/>
  <c r="K105" i="3"/>
  <c r="L105" i="3" s="1"/>
  <c r="K104" i="3"/>
  <c r="L104" i="3" s="1"/>
  <c r="L103" i="3"/>
  <c r="L102" i="3"/>
  <c r="K101" i="3"/>
  <c r="K100" i="3"/>
  <c r="K99" i="3"/>
  <c r="K97" i="3"/>
  <c r="K96" i="3"/>
  <c r="L96" i="3" s="1"/>
  <c r="K95" i="3"/>
  <c r="K94" i="3"/>
  <c r="L94" i="3" s="1"/>
  <c r="L93" i="3"/>
  <c r="K92" i="3"/>
  <c r="K91" i="3"/>
  <c r="I132" i="3"/>
  <c r="A142" i="3" l="1"/>
  <c r="K142" i="3" s="1"/>
  <c r="L142" i="3" s="1"/>
  <c r="L112" i="3"/>
  <c r="L143" i="3"/>
  <c r="L101" i="3"/>
  <c r="L82" i="3"/>
  <c r="L85" i="3"/>
  <c r="L97" i="3"/>
  <c r="L138" i="3"/>
  <c r="L111" i="3"/>
  <c r="L95" i="3"/>
  <c r="L113" i="3"/>
  <c r="L92" i="3"/>
  <c r="L130" i="3"/>
  <c r="L114" i="3"/>
  <c r="L100" i="3"/>
  <c r="L108" i="3"/>
  <c r="L124" i="3"/>
  <c r="L132" i="3"/>
  <c r="L91" i="3"/>
  <c r="L99" i="3"/>
  <c r="L131" i="3"/>
  <c r="L81" i="3"/>
  <c r="L115" i="3"/>
  <c r="G126" i="3" l="1"/>
  <c r="G125" i="3"/>
  <c r="G124" i="3"/>
  <c r="I124" i="3" s="1"/>
  <c r="G123" i="3"/>
  <c r="G122" i="3"/>
  <c r="I122" i="3" s="1"/>
  <c r="G121" i="3"/>
  <c r="G120" i="3" l="1"/>
  <c r="I120" i="3" s="1"/>
  <c r="G119" i="3"/>
  <c r="I119" i="3" s="1"/>
  <c r="G118" i="3"/>
  <c r="A118" i="3"/>
  <c r="A119" i="3" s="1"/>
  <c r="G117" i="3"/>
  <c r="I117" i="3" s="1"/>
  <c r="G116" i="3"/>
  <c r="G115" i="3"/>
  <c r="I115" i="3" s="1"/>
  <c r="G114" i="3"/>
  <c r="I114" i="3" s="1"/>
  <c r="G113" i="3"/>
  <c r="I113" i="3" s="1"/>
  <c r="G112" i="3"/>
  <c r="I112" i="3" s="1"/>
  <c r="G111" i="3"/>
  <c r="I111" i="3" s="1"/>
  <c r="G110" i="3"/>
  <c r="I110" i="3" s="1"/>
  <c r="G109" i="3"/>
  <c r="G108" i="3"/>
  <c r="I108" i="3" s="1"/>
  <c r="G107" i="3"/>
  <c r="G106" i="3"/>
  <c r="G105" i="3"/>
  <c r="I105" i="3" s="1"/>
  <c r="G104" i="3"/>
  <c r="I104" i="3" s="1"/>
  <c r="G103" i="3"/>
  <c r="G102" i="3"/>
  <c r="G101" i="3"/>
  <c r="I101" i="3" s="1"/>
  <c r="G100" i="3"/>
  <c r="I100" i="3" s="1"/>
  <c r="G99" i="3"/>
  <c r="I99" i="3" s="1"/>
  <c r="G98" i="3"/>
  <c r="G97" i="3"/>
  <c r="I97" i="3" s="1"/>
  <c r="G96" i="3"/>
  <c r="I96" i="3" s="1"/>
  <c r="G95" i="3"/>
  <c r="I95" i="3" s="1"/>
  <c r="G94" i="3"/>
  <c r="I94" i="3" s="1"/>
  <c r="G93" i="3"/>
  <c r="G92" i="3"/>
  <c r="I92" i="3" s="1"/>
  <c r="G89" i="3"/>
  <c r="I89" i="3" s="1"/>
  <c r="G88" i="3"/>
  <c r="I88" i="3" s="1"/>
  <c r="G87" i="3"/>
  <c r="I87" i="3" s="1"/>
  <c r="G86" i="3"/>
  <c r="G85" i="3"/>
  <c r="I85" i="3" s="1"/>
  <c r="G84" i="3"/>
  <c r="G83" i="3"/>
  <c r="I83" i="3" s="1"/>
  <c r="G82" i="3"/>
  <c r="I82" i="3" s="1"/>
  <c r="G81" i="3"/>
  <c r="I81" i="3" s="1"/>
  <c r="G80" i="3"/>
  <c r="G79" i="3"/>
  <c r="A89" i="3"/>
  <c r="K119" i="3" l="1"/>
  <c r="L119" i="3" s="1"/>
  <c r="A120" i="3"/>
  <c r="A90" i="3"/>
  <c r="K90" i="3" s="1"/>
  <c r="L90" i="3" s="1"/>
  <c r="K89" i="3"/>
  <c r="L89" i="3" s="1"/>
  <c r="J68" i="3"/>
  <c r="J67" i="3"/>
  <c r="J57" i="3"/>
  <c r="G78" i="3"/>
  <c r="I78" i="3" s="1"/>
  <c r="G77" i="3"/>
  <c r="I77" i="3" s="1"/>
  <c r="G76" i="3"/>
  <c r="G75" i="3"/>
  <c r="I75" i="3" s="1"/>
  <c r="G74" i="3"/>
  <c r="I74" i="3" s="1"/>
  <c r="G73" i="3"/>
  <c r="I73" i="3" s="1"/>
  <c r="G72" i="3"/>
  <c r="I72" i="3" s="1"/>
  <c r="G71" i="3"/>
  <c r="I71" i="3" s="1"/>
  <c r="G70" i="3"/>
  <c r="I70" i="3" s="1"/>
  <c r="G69" i="3"/>
  <c r="I69" i="3" s="1"/>
  <c r="G68" i="3"/>
  <c r="I68" i="3" s="1"/>
  <c r="G67" i="3"/>
  <c r="I67" i="3" s="1"/>
  <c r="G65" i="3"/>
  <c r="I65" i="3" s="1"/>
  <c r="G64" i="3"/>
  <c r="I64" i="3" s="1"/>
  <c r="G63" i="3"/>
  <c r="I63" i="3" s="1"/>
  <c r="G62" i="3"/>
  <c r="G61" i="3"/>
  <c r="K120" i="3" l="1"/>
  <c r="L120" i="3" s="1"/>
  <c r="A121" i="3"/>
  <c r="A122" i="3" s="1"/>
  <c r="K122" i="3" s="1"/>
  <c r="L122" i="3" s="1"/>
  <c r="G59" i="3"/>
  <c r="G58" i="3"/>
  <c r="G57" i="3"/>
  <c r="G56" i="3"/>
  <c r="A61" i="3"/>
  <c r="G55" i="3"/>
  <c r="G54" i="3"/>
  <c r="G53" i="3"/>
  <c r="G52" i="3"/>
  <c r="G51" i="3"/>
  <c r="G50" i="3"/>
  <c r="G49" i="3"/>
  <c r="A62" i="3" l="1"/>
  <c r="K61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8" i="3"/>
  <c r="G27" i="3"/>
  <c r="G25" i="3"/>
  <c r="G24" i="3"/>
  <c r="G23" i="3"/>
  <c r="G22" i="3"/>
  <c r="G19" i="3"/>
  <c r="L2" i="3"/>
  <c r="A63" i="3" l="1"/>
  <c r="K62" i="3"/>
  <c r="A64" i="3" l="1"/>
  <c r="K63" i="3"/>
  <c r="A66" i="3" l="1"/>
  <c r="K64" i="3"/>
  <c r="A67" i="3" l="1"/>
  <c r="K66" i="3"/>
  <c r="A68" i="3" l="1"/>
  <c r="K67" i="3"/>
  <c r="A69" i="3" l="1"/>
  <c r="K68" i="3"/>
  <c r="L68" i="3" s="1"/>
  <c r="A70" i="3" l="1"/>
  <c r="K69" i="3"/>
  <c r="L69" i="3" s="1"/>
  <c r="A71" i="3" l="1"/>
  <c r="K70" i="3"/>
  <c r="L70" i="3" s="1"/>
  <c r="A72" i="3" l="1"/>
  <c r="K71" i="3"/>
  <c r="L71" i="3" s="1"/>
  <c r="A73" i="3" l="1"/>
  <c r="K72" i="3"/>
  <c r="L72" i="3" s="1"/>
  <c r="A74" i="3" l="1"/>
  <c r="K73" i="3"/>
  <c r="L73" i="3" s="1"/>
  <c r="A75" i="3" l="1"/>
  <c r="K74" i="3"/>
  <c r="L74" i="3" s="1"/>
  <c r="A76" i="3" l="1"/>
  <c r="A77" i="3" s="1"/>
  <c r="K75" i="3"/>
  <c r="L75" i="3" s="1"/>
  <c r="A78" i="3" l="1"/>
  <c r="K77" i="3"/>
  <c r="L77" i="3" s="1"/>
  <c r="A79" i="3" l="1"/>
  <c r="K78" i="3"/>
  <c r="L78" i="3" s="1"/>
</calcChain>
</file>

<file path=xl/sharedStrings.xml><?xml version="1.0" encoding="utf-8"?>
<sst xmlns="http://schemas.openxmlformats.org/spreadsheetml/2006/main" count="540" uniqueCount="145">
  <si>
    <t>log:C:/git/luxai/light/main</t>
  </si>
  <si>
    <t>py</t>
  </si>
  <si>
    <t>win</t>
  </si>
  <si>
    <t>light</t>
  </si>
  <si>
    <t>rule416</t>
  </si>
  <si>
    <t>rule419</t>
  </si>
  <si>
    <t>rule420</t>
  </si>
  <si>
    <t>rule421</t>
  </si>
  <si>
    <t>rule422</t>
  </si>
  <si>
    <t>rule422b</t>
  </si>
  <si>
    <t>rule423</t>
  </si>
  <si>
    <t>rule424</t>
  </si>
  <si>
    <t>rule425</t>
  </si>
  <si>
    <t>rule426</t>
  </si>
  <si>
    <t>rule427</t>
  </si>
  <si>
    <t>rule428</t>
  </si>
  <si>
    <t>rule429</t>
  </si>
  <si>
    <t>rule430</t>
  </si>
  <si>
    <t>rule430b</t>
  </si>
  <si>
    <t>rule430c</t>
  </si>
  <si>
    <t>rule431</t>
  </si>
  <si>
    <t>rule432</t>
  </si>
  <si>
    <t>rule433</t>
  </si>
  <si>
    <t>rule433b</t>
  </si>
  <si>
    <t>rule433c</t>
  </si>
  <si>
    <t>rule433d</t>
  </si>
  <si>
    <t>rule433r</t>
  </si>
  <si>
    <t>rule434</t>
  </si>
  <si>
    <t>rule435</t>
  </si>
  <si>
    <t>rule435r</t>
  </si>
  <si>
    <t>rule436</t>
  </si>
  <si>
    <t>imitate</t>
  </si>
  <si>
    <t>rule305</t>
  </si>
  <si>
    <t>log:imitate</t>
  </si>
  <si>
    <t>rule305b</t>
  </si>
  <si>
    <t>rule305c</t>
  </si>
  <si>
    <t>rule306</t>
  </si>
  <si>
    <t>rule307</t>
  </si>
  <si>
    <t>rule308</t>
  </si>
  <si>
    <t>rule401</t>
  </si>
  <si>
    <t>rule405</t>
  </si>
  <si>
    <t>rule405c3</t>
  </si>
  <si>
    <t>rule405c4</t>
  </si>
  <si>
    <t>rule405c6</t>
  </si>
  <si>
    <t>rule411</t>
  </si>
  <si>
    <t>rule412</t>
  </si>
  <si>
    <t>rule413</t>
  </si>
  <si>
    <t>rule414</t>
  </si>
  <si>
    <t>rule415</t>
  </si>
  <si>
    <t>rule417</t>
  </si>
  <si>
    <t>rule418</t>
  </si>
  <si>
    <t>fileName</t>
  </si>
  <si>
    <t>date</t>
  </si>
  <si>
    <t>description</t>
  </si>
  <si>
    <t>status</t>
  </si>
  <si>
    <t>publicScore</t>
  </si>
  <si>
    <t>privateScore</t>
  </si>
  <si>
    <t>None</t>
  </si>
  <si>
    <t>complete</t>
  </si>
  <si>
    <t>submission</t>
  </si>
  <si>
    <t>rule403</t>
  </si>
  <si>
    <t>rule437</t>
  </si>
  <si>
    <t>rule438</t>
  </si>
  <si>
    <t>rule439</t>
  </si>
  <si>
    <t>rule440</t>
  </si>
  <si>
    <t>rule440b</t>
  </si>
  <si>
    <t>447c</t>
  </si>
  <si>
    <t>451b</t>
  </si>
  <si>
    <t>imit2</t>
  </si>
  <si>
    <t>SUM</t>
  </si>
  <si>
    <t>465b</t>
  </si>
  <si>
    <t>imit3</t>
  </si>
  <si>
    <t>466b</t>
  </si>
  <si>
    <t>467b</t>
  </si>
  <si>
    <t>488d</t>
  </si>
  <si>
    <t>488b</t>
  </si>
  <si>
    <t>488c</t>
  </si>
  <si>
    <t>488bc</t>
  </si>
  <si>
    <t>502b</t>
  </si>
  <si>
    <t>502c</t>
  </si>
  <si>
    <t>502x</t>
  </si>
  <si>
    <t>504b</t>
  </si>
  <si>
    <t>510b</t>
  </si>
  <si>
    <t>s.rule506.tar.gz</t>
  </si>
  <si>
    <t>s.rule505.tar.gz</t>
  </si>
  <si>
    <t>s.rule507.tar.gz</t>
  </si>
  <si>
    <t>s.rule502b.tar.gz</t>
  </si>
  <si>
    <t>s.rule501b.tar.gz</t>
  </si>
  <si>
    <t>s.rule501.tar.gz</t>
  </si>
  <si>
    <t>s.rule499.tar.gz</t>
  </si>
  <si>
    <t>s.rule498.tar.gz</t>
  </si>
  <si>
    <t>s.rule496.tar.gz</t>
  </si>
  <si>
    <t>s.rule494.tar.gz</t>
  </si>
  <si>
    <t>s.rule493.tar.gz</t>
  </si>
  <si>
    <t>s.rule492.tar.gz</t>
  </si>
  <si>
    <t>s.rule491.tar.gz</t>
  </si>
  <si>
    <t>s.rule490.tar.gz</t>
  </si>
  <si>
    <t>s.rule489.tar.gz</t>
  </si>
  <si>
    <t>s.rule484.tar.gz</t>
  </si>
  <si>
    <t>kaggle competitions submissions -v -c lux-ai-2021 | grep -v error | clip</t>
  </si>
  <si>
    <t>510c</t>
  </si>
  <si>
    <t>s.rule510c.tar.gz</t>
  </si>
  <si>
    <t>s.rule510b.tar.gz</t>
  </si>
  <si>
    <t>s.rule509.tar.gz</t>
  </si>
  <si>
    <t>s.rule511.tar.gz</t>
  </si>
  <si>
    <t>s.rule513.tar.gz</t>
  </si>
  <si>
    <t>Test</t>
  </si>
  <si>
    <t>s.rule514.tar.gz</t>
  </si>
  <si>
    <t>s.rule514b.tar.gz</t>
  </si>
  <si>
    <t>514b</t>
  </si>
  <si>
    <t>imit4</t>
  </si>
  <si>
    <t>SUM2</t>
  </si>
  <si>
    <t>s.rule512.tar.gz</t>
  </si>
  <si>
    <t>m1</t>
  </si>
  <si>
    <t>m2</t>
  </si>
  <si>
    <t>m3</t>
  </si>
  <si>
    <t>m4</t>
  </si>
  <si>
    <t>m0</t>
  </si>
  <si>
    <t>rulem0.tar.gz</t>
  </si>
  <si>
    <t>s.rule518.tar.gz</t>
  </si>
  <si>
    <t>s.rule517.tar.gz</t>
  </si>
  <si>
    <t>s.rulem4.tar.gz</t>
  </si>
  <si>
    <t/>
  </si>
  <si>
    <t>m5</t>
  </si>
  <si>
    <t>s.rule519.tar.gz</t>
  </si>
  <si>
    <t>s.rulem5.tar.gz</t>
  </si>
  <si>
    <t>511m</t>
  </si>
  <si>
    <t>s.rule511m.tar.gz</t>
  </si>
  <si>
    <t>m6</t>
  </si>
  <si>
    <t>s.rule520.tar.gz</t>
  </si>
  <si>
    <t>519n</t>
  </si>
  <si>
    <t>519o</t>
  </si>
  <si>
    <t>519m</t>
  </si>
  <si>
    <t>519p</t>
  </si>
  <si>
    <t>s.rule521.tar.gz</t>
  </si>
  <si>
    <t>s.rulem6.tar.gz</t>
  </si>
  <si>
    <t>519q</t>
  </si>
  <si>
    <t>521q</t>
  </si>
  <si>
    <t>s.rule521q.tar.gz</t>
  </si>
  <si>
    <t>s.rule519q.tar.gz</t>
  </si>
  <si>
    <t>511q</t>
  </si>
  <si>
    <t>s.rule511q.tar.gz</t>
  </si>
  <si>
    <t>s.rule520q.tar.gz</t>
  </si>
  <si>
    <t>520q</t>
  </si>
  <si>
    <t>s.rule522.tar.gz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</si>
</sst>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CFF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9" fontId="0" fillId="0" borderId="0" xfId="1" applyFont="1"/>
    <xf numFmtId="0" fontId="0" fillId="0" borderId="0" xfId="0"/>
    <xf numFmtId="1" fontId="0" fillId="0" borderId="0" xfId="0" applyNumberFormat="1"/>
    <xf numFmtId="0" fontId="0" fillId="0" borderId="0" xfId="0" applyAlignment="1">
      <alignment horizontal="left" indent="1"/>
    </xf>
    <xf numFmtId="22" fontId="0" fillId="0" borderId="0" xfId="0" applyNumberFormat="1"/>
    <xf numFmtId="2" fontId="0" fillId="0" borderId="0" xfId="0" applyNumberFormat="1"/>
    <xf numFmtId="164" fontId="0" fillId="0" borderId="0" xfId="1" applyNumberFormat="1" applyFont="1"/>
    <xf numFmtId="0" fontId="0" fillId="33" borderId="0" xfId="0" applyFill="1" applyAlignment="1">
      <alignment horizontal="left" indent="1"/>
    </xf>
    <xf numFmtId="0" fontId="0" fillId="34" borderId="0" xfId="0" applyFill="1" applyAlignment="1">
      <alignment horizontal="left" indent="1"/>
    </xf>
    <xf numFmtId="0" fontId="0" fillId="0" borderId="0" xfId="0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49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4.9989318521683403E-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theme="9" tint="0.59996337778862885"/>
        </patternFill>
      </fill>
    </dxf>
    <dxf>
      <font>
        <b val="0"/>
        <i val="0"/>
        <color theme="1" tint="0.2499465926084170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summary!$J$1</c:f>
              <c:strCache>
                <c:ptCount val="1"/>
                <c:pt idx="0">
                  <c:v>submission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25400" cap="rnd">
                <a:solidFill>
                  <a:srgbClr val="0070C0"/>
                </a:solidFill>
                <a:prstDash val="sysDash"/>
              </a:ln>
              <a:effectLst/>
            </c:spPr>
            <c:trendlineType val="linear"/>
            <c:dispRSqr val="0"/>
            <c:dispEq val="0"/>
          </c:trendline>
          <c:yVal>
            <c:numRef>
              <c:f>summary!$J$2:$J$154</c:f>
              <c:numCache>
                <c:formatCode>0</c:formatCode>
                <c:ptCount val="152"/>
                <c:pt idx="1">
                  <c:v>1369.3</c:v>
                </c:pt>
                <c:pt idx="6">
                  <c:v>1319.9</c:v>
                </c:pt>
                <c:pt idx="7">
                  <c:v>1338</c:v>
                </c:pt>
                <c:pt idx="9">
                  <c:v>1334.9</c:v>
                </c:pt>
                <c:pt idx="10">
                  <c:v>1341.9</c:v>
                </c:pt>
                <c:pt idx="12">
                  <c:v>1343.4</c:v>
                </c:pt>
                <c:pt idx="14">
                  <c:v>1328.4</c:v>
                </c:pt>
                <c:pt idx="15">
                  <c:v>1293.3</c:v>
                </c:pt>
                <c:pt idx="16">
                  <c:v>1328.2</c:v>
                </c:pt>
                <c:pt idx="17">
                  <c:v>1329.7</c:v>
                </c:pt>
                <c:pt idx="18">
                  <c:v>1303.7</c:v>
                </c:pt>
                <c:pt idx="19">
                  <c:v>1337.6</c:v>
                </c:pt>
                <c:pt idx="20">
                  <c:v>1334.4</c:v>
                </c:pt>
                <c:pt idx="23">
                  <c:v>1324</c:v>
                </c:pt>
                <c:pt idx="24">
                  <c:v>1334</c:v>
                </c:pt>
                <c:pt idx="32">
                  <c:v>1404</c:v>
                </c:pt>
                <c:pt idx="33">
                  <c:v>1308</c:v>
                </c:pt>
                <c:pt idx="34">
                  <c:v>1366</c:v>
                </c:pt>
                <c:pt idx="35">
                  <c:v>1391</c:v>
                </c:pt>
                <c:pt idx="37">
                  <c:v>1368</c:v>
                </c:pt>
                <c:pt idx="42">
                  <c:v>1394</c:v>
                </c:pt>
                <c:pt idx="45">
                  <c:v>1402</c:v>
                </c:pt>
                <c:pt idx="46">
                  <c:v>1395</c:v>
                </c:pt>
                <c:pt idx="47">
                  <c:v>1361</c:v>
                </c:pt>
                <c:pt idx="52">
                  <c:v>1371</c:v>
                </c:pt>
                <c:pt idx="53">
                  <c:v>1363</c:v>
                </c:pt>
                <c:pt idx="54">
                  <c:v>1410</c:v>
                </c:pt>
                <c:pt idx="55">
                  <c:v>1425</c:v>
                </c:pt>
                <c:pt idx="56">
                  <c:v>1386</c:v>
                </c:pt>
                <c:pt idx="60">
                  <c:v>1387</c:v>
                </c:pt>
                <c:pt idx="61">
                  <c:v>1348</c:v>
                </c:pt>
                <c:pt idx="62">
                  <c:v>1380</c:v>
                </c:pt>
                <c:pt idx="63">
                  <c:v>1392</c:v>
                </c:pt>
                <c:pt idx="64">
                  <c:v>1394</c:v>
                </c:pt>
                <c:pt idx="65">
                  <c:v>1386.5</c:v>
                </c:pt>
                <c:pt idx="66">
                  <c:v>1342.6</c:v>
                </c:pt>
                <c:pt idx="67">
                  <c:v>1381.5</c:v>
                </c:pt>
                <c:pt idx="68">
                  <c:v>1430</c:v>
                </c:pt>
                <c:pt idx="69">
                  <c:v>1423</c:v>
                </c:pt>
                <c:pt idx="70">
                  <c:v>1403</c:v>
                </c:pt>
                <c:pt idx="71">
                  <c:v>1376</c:v>
                </c:pt>
                <c:pt idx="72">
                  <c:v>1389.9</c:v>
                </c:pt>
                <c:pt idx="74">
                  <c:v>1390.1</c:v>
                </c:pt>
                <c:pt idx="75">
                  <c:v>1393.6</c:v>
                </c:pt>
                <c:pt idx="78">
                  <c:v>1377.2</c:v>
                </c:pt>
                <c:pt idx="79">
                  <c:v>1380.4</c:v>
                </c:pt>
                <c:pt idx="80">
                  <c:v>1367.4</c:v>
                </c:pt>
                <c:pt idx="82">
                  <c:v>1354.5</c:v>
                </c:pt>
                <c:pt idx="84">
                  <c:v>1393.2</c:v>
                </c:pt>
                <c:pt idx="85">
                  <c:v>1381.1</c:v>
                </c:pt>
                <c:pt idx="86">
                  <c:v>1408.5</c:v>
                </c:pt>
                <c:pt idx="87">
                  <c:v>1443.2</c:v>
                </c:pt>
                <c:pt idx="88">
                  <c:v>1356.2</c:v>
                </c:pt>
                <c:pt idx="89">
                  <c:v>1409.2</c:v>
                </c:pt>
                <c:pt idx="91">
                  <c:v>1394.7</c:v>
                </c:pt>
                <c:pt idx="92">
                  <c:v>1402.6</c:v>
                </c:pt>
                <c:pt idx="93">
                  <c:v>1406.1</c:v>
                </c:pt>
                <c:pt idx="94">
                  <c:v>1387.1</c:v>
                </c:pt>
                <c:pt idx="96">
                  <c:v>1362.5</c:v>
                </c:pt>
                <c:pt idx="97">
                  <c:v>1429.3</c:v>
                </c:pt>
                <c:pt idx="98">
                  <c:v>1428.9</c:v>
                </c:pt>
                <c:pt idx="101">
                  <c:v>1405.7</c:v>
                </c:pt>
                <c:pt idx="102">
                  <c:v>1399.8</c:v>
                </c:pt>
                <c:pt idx="105">
                  <c:v>1400.1</c:v>
                </c:pt>
                <c:pt idx="107">
                  <c:v>1352.6</c:v>
                </c:pt>
                <c:pt idx="108">
                  <c:v>1346.4</c:v>
                </c:pt>
                <c:pt idx="109">
                  <c:v>1403.7</c:v>
                </c:pt>
                <c:pt idx="110">
                  <c:v>1424.2</c:v>
                </c:pt>
                <c:pt idx="111">
                  <c:v>1439.6</c:v>
                </c:pt>
                <c:pt idx="112">
                  <c:v>1411.4</c:v>
                </c:pt>
                <c:pt idx="114">
                  <c:v>1429.8</c:v>
                </c:pt>
                <c:pt idx="116">
                  <c:v>1415.9</c:v>
                </c:pt>
                <c:pt idx="117">
                  <c:v>1409.6</c:v>
                </c:pt>
                <c:pt idx="119">
                  <c:v>1451.7</c:v>
                </c:pt>
                <c:pt idx="121">
                  <c:v>1415.9</c:v>
                </c:pt>
                <c:pt idx="127">
                  <c:v>1423.4</c:v>
                </c:pt>
                <c:pt idx="128">
                  <c:v>1456.1</c:v>
                </c:pt>
                <c:pt idx="129">
                  <c:v>1454.3</c:v>
                </c:pt>
                <c:pt idx="131">
                  <c:v>1470.5</c:v>
                </c:pt>
                <c:pt idx="133">
                  <c:v>1450.8</c:v>
                </c:pt>
                <c:pt idx="134">
                  <c:v>1420.2</c:v>
                </c:pt>
                <c:pt idx="135">
                  <c:v>1498.4</c:v>
                </c:pt>
                <c:pt idx="136">
                  <c:v>1487.6</c:v>
                </c:pt>
                <c:pt idx="137">
                  <c:v>1449.4</c:v>
                </c:pt>
                <c:pt idx="138">
                  <c:v>1459.3</c:v>
                </c:pt>
                <c:pt idx="139">
                  <c:v>1454.2</c:v>
                </c:pt>
                <c:pt idx="140">
                  <c:v>1419.2</c:v>
                </c:pt>
                <c:pt idx="141">
                  <c:v>1426.1</c:v>
                </c:pt>
                <c:pt idx="143">
                  <c:v>1534.2</c:v>
                </c:pt>
                <c:pt idx="144">
                  <c:v>1503.3</c:v>
                </c:pt>
                <c:pt idx="145">
                  <c:v>1511.9</c:v>
                </c:pt>
                <c:pt idx="150">
                  <c:v>1533.8</c:v>
                </c:pt>
                <c:pt idx="151">
                  <c:v>1544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4A-461A-B9BB-D04465BE70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13456"/>
        <c:axId val="99003472"/>
      </c:scatterChart>
      <c:scatterChart>
        <c:scatterStyle val="lineMarker"/>
        <c:varyColors val="0"/>
        <c:ser>
          <c:idx val="1"/>
          <c:order val="1"/>
          <c:tx>
            <c:v>test</c:v>
          </c:tx>
          <c:spPr>
            <a:ln w="25400" cap="rnd">
              <a:noFill/>
              <a:round/>
            </a:ln>
            <a:effectLst>
              <a:outerShdw blurRad="50800" dist="50800" dir="5400000" algn="ctr" rotWithShape="0">
                <a:schemeClr val="bg1"/>
              </a:outerShdw>
            </a:effectLst>
          </c:spPr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 w="9525">
                <a:solidFill>
                  <a:schemeClr val="tx1">
                    <a:lumMod val="75000"/>
                    <a:lumOff val="25000"/>
                  </a:schemeClr>
                </a:solidFill>
              </a:ln>
              <a:effectLst>
                <a:outerShdw blurRad="50800" dist="50800" dir="5400000" algn="ctr" rotWithShape="0">
                  <a:schemeClr val="bg1"/>
                </a:outerShdw>
              </a:effectLst>
            </c:spPr>
          </c:marker>
          <c:trendline>
            <c:spPr>
              <a:ln w="19050" cap="rnd">
                <a:solidFill>
                  <a:schemeClr val="bg2">
                    <a:lumMod val="50000"/>
                  </a:schemeClr>
                </a:solidFill>
                <a:prstDash val="sysDash"/>
              </a:ln>
              <a:effectLst/>
            </c:spPr>
            <c:trendlineType val="linear"/>
            <c:dispRSqr val="0"/>
            <c:dispEq val="0"/>
          </c:trendline>
          <c:yVal>
            <c:numRef>
              <c:f>summary!$I$2:$I$154</c:f>
              <c:numCache>
                <c:formatCode>General</c:formatCode>
                <c:ptCount val="152"/>
                <c:pt idx="60" formatCode="0.0%">
                  <c:v>0.69333333333333336</c:v>
                </c:pt>
                <c:pt idx="61" formatCode="0.0%">
                  <c:v>0.71</c:v>
                </c:pt>
                <c:pt idx="62" formatCode="0.0%">
                  <c:v>0.70499999999999996</c:v>
                </c:pt>
                <c:pt idx="64" formatCode="0.0%">
                  <c:v>0.72833333333333339</c:v>
                </c:pt>
                <c:pt idx="65" formatCode="0.0%">
                  <c:v>0.73</c:v>
                </c:pt>
                <c:pt idx="66" formatCode="0.0%">
                  <c:v>0.71666666666666667</c:v>
                </c:pt>
                <c:pt idx="67" formatCode="0.0%">
                  <c:v>0.71333333333333337</c:v>
                </c:pt>
                <c:pt idx="68" formatCode="0.0%">
                  <c:v>0.65</c:v>
                </c:pt>
                <c:pt idx="69" formatCode="0.0%">
                  <c:v>0.71166666666666667</c:v>
                </c:pt>
                <c:pt idx="70" formatCode="0.0%">
                  <c:v>0.72</c:v>
                </c:pt>
                <c:pt idx="71" formatCode="0.0%">
                  <c:v>0.73499999999999999</c:v>
                </c:pt>
                <c:pt idx="72" formatCode="0.0%">
                  <c:v>0.73499999999999999</c:v>
                </c:pt>
                <c:pt idx="74" formatCode="0.0%">
                  <c:v>0.73</c:v>
                </c:pt>
                <c:pt idx="75" formatCode="0.0%">
                  <c:v>0.70499999999999996</c:v>
                </c:pt>
                <c:pt idx="78" formatCode="0.0%">
                  <c:v>0.72166666666666668</c:v>
                </c:pt>
                <c:pt idx="79" formatCode="0.0%">
                  <c:v>0.73666666666666669</c:v>
                </c:pt>
                <c:pt idx="80" formatCode="0.0%">
                  <c:v>0.72</c:v>
                </c:pt>
                <c:pt idx="82" formatCode="0.0%">
                  <c:v>0.72666666666666668</c:v>
                </c:pt>
                <c:pt idx="84" formatCode="0.0%">
                  <c:v>0.73166666666666669</c:v>
                </c:pt>
                <c:pt idx="85" formatCode="0.0%">
                  <c:v>0.73499999999999999</c:v>
                </c:pt>
                <c:pt idx="86" formatCode="0.0%">
                  <c:v>0.72499999999999998</c:v>
                </c:pt>
                <c:pt idx="87" formatCode="0.0%">
                  <c:v>0.72666666666666668</c:v>
                </c:pt>
                <c:pt idx="88" formatCode="0.0%">
                  <c:v>0.73499999999999999</c:v>
                </c:pt>
                <c:pt idx="89" formatCode="0.0%">
                  <c:v>0.72833333333333339</c:v>
                </c:pt>
                <c:pt idx="91" formatCode="0.0%">
                  <c:v>0.71666666666666667</c:v>
                </c:pt>
                <c:pt idx="92" formatCode="0.0%">
                  <c:v>0.72499999999999998</c:v>
                </c:pt>
                <c:pt idx="93" formatCode="0.0%">
                  <c:v>0.72666666666666668</c:v>
                </c:pt>
                <c:pt idx="94" formatCode="0.0%">
                  <c:v>0.73166666666666669</c:v>
                </c:pt>
                <c:pt idx="96" formatCode="0.0%">
                  <c:v>0.72499999999999998</c:v>
                </c:pt>
                <c:pt idx="97" formatCode="0.0%">
                  <c:v>0.73333333333333328</c:v>
                </c:pt>
                <c:pt idx="98" formatCode="0.0%">
                  <c:v>0.75666666666666671</c:v>
                </c:pt>
                <c:pt idx="101" formatCode="0.0%">
                  <c:v>0.73333333333333328</c:v>
                </c:pt>
                <c:pt idx="102" formatCode="0.0%">
                  <c:v>0.745</c:v>
                </c:pt>
                <c:pt idx="105" formatCode="0.0%">
                  <c:v>0.73333333333333328</c:v>
                </c:pt>
                <c:pt idx="107" formatCode="0.0%">
                  <c:v>0.73333333333333328</c:v>
                </c:pt>
                <c:pt idx="108" formatCode="0.0%">
                  <c:v>0.73</c:v>
                </c:pt>
                <c:pt idx="109" formatCode="0.0%">
                  <c:v>0.78</c:v>
                </c:pt>
                <c:pt idx="110" formatCode="0.0%">
                  <c:v>0.76333333333333331</c:v>
                </c:pt>
                <c:pt idx="111" formatCode="0.0%">
                  <c:v>0.76</c:v>
                </c:pt>
                <c:pt idx="112" formatCode="0.0%">
                  <c:v>0.76166666666666671</c:v>
                </c:pt>
                <c:pt idx="114" formatCode="0.0%">
                  <c:v>0.78666666666666663</c:v>
                </c:pt>
                <c:pt idx="116" formatCode="0.0%">
                  <c:v>0.78500000000000003</c:v>
                </c:pt>
                <c:pt idx="117" formatCode="0.0%">
                  <c:v>0.78500000000000003</c:v>
                </c:pt>
                <c:pt idx="119" formatCode="0.0%">
                  <c:v>0.78666666666666663</c:v>
                </c:pt>
                <c:pt idx="121" formatCode="0.0%">
                  <c:v>0.77833333333333332</c:v>
                </c:pt>
                <c:pt idx="124" formatCode="0.0%">
                  <c:v>0.78</c:v>
                </c:pt>
                <c:pt idx="125" formatCode="0.0%">
                  <c:v>0.77166666666666661</c:v>
                </c:pt>
                <c:pt idx="126" formatCode="0.0%">
                  <c:v>0.77833333333333332</c:v>
                </c:pt>
                <c:pt idx="127" formatCode="0.0%">
                  <c:v>0.78500000000000003</c:v>
                </c:pt>
                <c:pt idx="128" formatCode="0.0%">
                  <c:v>0.79166666666666663</c:v>
                </c:pt>
                <c:pt idx="129" formatCode="0.0%">
                  <c:v>0.77666666666666662</c:v>
                </c:pt>
                <c:pt idx="130" formatCode="0.0%">
                  <c:v>0.76833333333333331</c:v>
                </c:pt>
                <c:pt idx="131" formatCode="0.0%">
                  <c:v>0.79166666666666663</c:v>
                </c:pt>
                <c:pt idx="132" formatCode="0.0%">
                  <c:v>0.77166666666666661</c:v>
                </c:pt>
                <c:pt idx="133" formatCode="0.0%">
                  <c:v>0.79833333333333334</c:v>
                </c:pt>
                <c:pt idx="134" formatCode="0.0%">
                  <c:v>0.8</c:v>
                </c:pt>
                <c:pt idx="135" formatCode="0.0%">
                  <c:v>0.79666666666666663</c:v>
                </c:pt>
                <c:pt idx="138" formatCode="0.0%">
                  <c:v>0.80500000000000005</c:v>
                </c:pt>
                <c:pt idx="139" formatCode="0.0%">
                  <c:v>0.80333333333333334</c:v>
                </c:pt>
                <c:pt idx="140" formatCode="0.0%">
                  <c:v>0.82333333333333336</c:v>
                </c:pt>
                <c:pt idx="141" formatCode="0.0%">
                  <c:v>0.83333333333333337</c:v>
                </c:pt>
                <c:pt idx="142" formatCode="0.0%">
                  <c:v>0.86333333333333329</c:v>
                </c:pt>
                <c:pt idx="143" formatCode="0.0%">
                  <c:v>0.85333333333333339</c:v>
                </c:pt>
                <c:pt idx="144" formatCode="0.0%">
                  <c:v>0.87333333333333329</c:v>
                </c:pt>
                <c:pt idx="145" formatCode="0.0%">
                  <c:v>0.88500000000000001</c:v>
                </c:pt>
                <c:pt idx="146" formatCode="0.0%">
                  <c:v>0.88833333333333331</c:v>
                </c:pt>
                <c:pt idx="147" formatCode="0.0%">
                  <c:v>0.88666666666666671</c:v>
                </c:pt>
                <c:pt idx="148" formatCode="0.0%">
                  <c:v>0.86833333333333329</c:v>
                </c:pt>
                <c:pt idx="149" formatCode="0.0%">
                  <c:v>0.87666666666666671</c:v>
                </c:pt>
                <c:pt idx="150" formatCode="0.0%">
                  <c:v>0.88500000000000001</c:v>
                </c:pt>
                <c:pt idx="151" formatCode="0.0%">
                  <c:v>0.8783333333333333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24A-461A-B9BB-D04465BE70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607872"/>
        <c:axId val="74616192"/>
      </c:scatterChart>
      <c:valAx>
        <c:axId val="9901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03472"/>
        <c:crosses val="autoZero"/>
        <c:crossBetween val="midCat"/>
      </c:valAx>
      <c:valAx>
        <c:axId val="99003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13456"/>
        <c:crosses val="autoZero"/>
        <c:crossBetween val="midCat"/>
      </c:valAx>
      <c:valAx>
        <c:axId val="74616192"/>
        <c:scaling>
          <c:orientation val="minMax"/>
          <c:max val="1"/>
          <c:min val="0.60000000000000009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accent3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3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07872"/>
        <c:crosses val="max"/>
        <c:crossBetween val="midCat"/>
      </c:valAx>
      <c:valAx>
        <c:axId val="746078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4616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score vs %win imitate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summary!$J$1</c:f>
              <c:strCache>
                <c:ptCount val="1"/>
                <c:pt idx="0">
                  <c:v>submission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summary!$I$2:$I$154</c:f>
              <c:numCache>
                <c:formatCode>General</c:formatCode>
                <c:ptCount val="152"/>
                <c:pt idx="60" formatCode="0.0%">
                  <c:v>0.69333333333333336</c:v>
                </c:pt>
                <c:pt idx="61" formatCode="0.0%">
                  <c:v>0.71</c:v>
                </c:pt>
                <c:pt idx="62" formatCode="0.0%">
                  <c:v>0.70499999999999996</c:v>
                </c:pt>
                <c:pt idx="64" formatCode="0.0%">
                  <c:v>0.72833333333333339</c:v>
                </c:pt>
                <c:pt idx="65" formatCode="0.0%">
                  <c:v>0.73</c:v>
                </c:pt>
                <c:pt idx="66" formatCode="0.0%">
                  <c:v>0.71666666666666667</c:v>
                </c:pt>
                <c:pt idx="67" formatCode="0.0%">
                  <c:v>0.71333333333333337</c:v>
                </c:pt>
                <c:pt idx="68" formatCode="0.0%">
                  <c:v>0.65</c:v>
                </c:pt>
                <c:pt idx="69" formatCode="0.0%">
                  <c:v>0.71166666666666667</c:v>
                </c:pt>
                <c:pt idx="70" formatCode="0.0%">
                  <c:v>0.72</c:v>
                </c:pt>
                <c:pt idx="71" formatCode="0.0%">
                  <c:v>0.73499999999999999</c:v>
                </c:pt>
                <c:pt idx="72" formatCode="0.0%">
                  <c:v>0.73499999999999999</c:v>
                </c:pt>
                <c:pt idx="74" formatCode="0.0%">
                  <c:v>0.73</c:v>
                </c:pt>
                <c:pt idx="75" formatCode="0.0%">
                  <c:v>0.70499999999999996</c:v>
                </c:pt>
                <c:pt idx="78" formatCode="0.0%">
                  <c:v>0.72166666666666668</c:v>
                </c:pt>
                <c:pt idx="79" formatCode="0.0%">
                  <c:v>0.73666666666666669</c:v>
                </c:pt>
                <c:pt idx="80" formatCode="0.0%">
                  <c:v>0.72</c:v>
                </c:pt>
                <c:pt idx="82" formatCode="0.0%">
                  <c:v>0.72666666666666668</c:v>
                </c:pt>
                <c:pt idx="84" formatCode="0.0%">
                  <c:v>0.73166666666666669</c:v>
                </c:pt>
                <c:pt idx="85" formatCode="0.0%">
                  <c:v>0.73499999999999999</c:v>
                </c:pt>
                <c:pt idx="86" formatCode="0.0%">
                  <c:v>0.72499999999999998</c:v>
                </c:pt>
                <c:pt idx="87" formatCode="0.0%">
                  <c:v>0.72666666666666668</c:v>
                </c:pt>
                <c:pt idx="88" formatCode="0.0%">
                  <c:v>0.73499999999999999</c:v>
                </c:pt>
                <c:pt idx="89" formatCode="0.0%">
                  <c:v>0.72833333333333339</c:v>
                </c:pt>
                <c:pt idx="91" formatCode="0.0%">
                  <c:v>0.71666666666666667</c:v>
                </c:pt>
                <c:pt idx="92" formatCode="0.0%">
                  <c:v>0.72499999999999998</c:v>
                </c:pt>
                <c:pt idx="93" formatCode="0.0%">
                  <c:v>0.72666666666666668</c:v>
                </c:pt>
                <c:pt idx="94" formatCode="0.0%">
                  <c:v>0.73166666666666669</c:v>
                </c:pt>
                <c:pt idx="96" formatCode="0.0%">
                  <c:v>0.72499999999999998</c:v>
                </c:pt>
                <c:pt idx="97" formatCode="0.0%">
                  <c:v>0.73333333333333328</c:v>
                </c:pt>
                <c:pt idx="98" formatCode="0.0%">
                  <c:v>0.75666666666666671</c:v>
                </c:pt>
                <c:pt idx="101" formatCode="0.0%">
                  <c:v>0.73333333333333328</c:v>
                </c:pt>
                <c:pt idx="102" formatCode="0.0%">
                  <c:v>0.745</c:v>
                </c:pt>
                <c:pt idx="105" formatCode="0.0%">
                  <c:v>0.73333333333333328</c:v>
                </c:pt>
                <c:pt idx="107" formatCode="0.0%">
                  <c:v>0.73333333333333328</c:v>
                </c:pt>
                <c:pt idx="108" formatCode="0.0%">
                  <c:v>0.73</c:v>
                </c:pt>
                <c:pt idx="109" formatCode="0.0%">
                  <c:v>0.78</c:v>
                </c:pt>
                <c:pt idx="110" formatCode="0.0%">
                  <c:v>0.76333333333333331</c:v>
                </c:pt>
                <c:pt idx="111" formatCode="0.0%">
                  <c:v>0.76</c:v>
                </c:pt>
                <c:pt idx="112" formatCode="0.0%">
                  <c:v>0.76166666666666671</c:v>
                </c:pt>
                <c:pt idx="114" formatCode="0.0%">
                  <c:v>0.78666666666666663</c:v>
                </c:pt>
                <c:pt idx="116" formatCode="0.0%">
                  <c:v>0.78500000000000003</c:v>
                </c:pt>
                <c:pt idx="117" formatCode="0.0%">
                  <c:v>0.78500000000000003</c:v>
                </c:pt>
                <c:pt idx="119" formatCode="0.0%">
                  <c:v>0.78666666666666663</c:v>
                </c:pt>
                <c:pt idx="121" formatCode="0.0%">
                  <c:v>0.77833333333333332</c:v>
                </c:pt>
                <c:pt idx="124" formatCode="0.0%">
                  <c:v>0.78</c:v>
                </c:pt>
                <c:pt idx="125" formatCode="0.0%">
                  <c:v>0.77166666666666661</c:v>
                </c:pt>
                <c:pt idx="126" formatCode="0.0%">
                  <c:v>0.77833333333333332</c:v>
                </c:pt>
                <c:pt idx="127" formatCode="0.0%">
                  <c:v>0.78500000000000003</c:v>
                </c:pt>
                <c:pt idx="128" formatCode="0.0%">
                  <c:v>0.79166666666666663</c:v>
                </c:pt>
                <c:pt idx="129" formatCode="0.0%">
                  <c:v>0.77666666666666662</c:v>
                </c:pt>
                <c:pt idx="130" formatCode="0.0%">
                  <c:v>0.76833333333333331</c:v>
                </c:pt>
                <c:pt idx="131" formatCode="0.0%">
                  <c:v>0.79166666666666663</c:v>
                </c:pt>
                <c:pt idx="132" formatCode="0.0%">
                  <c:v>0.77166666666666661</c:v>
                </c:pt>
                <c:pt idx="133" formatCode="0.0%">
                  <c:v>0.79833333333333334</c:v>
                </c:pt>
                <c:pt idx="134" formatCode="0.0%">
                  <c:v>0.8</c:v>
                </c:pt>
                <c:pt idx="135" formatCode="0.0%">
                  <c:v>0.79666666666666663</c:v>
                </c:pt>
                <c:pt idx="138" formatCode="0.0%">
                  <c:v>0.80500000000000005</c:v>
                </c:pt>
                <c:pt idx="139" formatCode="0.0%">
                  <c:v>0.80333333333333334</c:v>
                </c:pt>
                <c:pt idx="140" formatCode="0.0%">
                  <c:v>0.82333333333333336</c:v>
                </c:pt>
                <c:pt idx="141" formatCode="0.0%">
                  <c:v>0.83333333333333337</c:v>
                </c:pt>
                <c:pt idx="142" formatCode="0.0%">
                  <c:v>0.86333333333333329</c:v>
                </c:pt>
                <c:pt idx="143" formatCode="0.0%">
                  <c:v>0.85333333333333339</c:v>
                </c:pt>
                <c:pt idx="144" formatCode="0.0%">
                  <c:v>0.87333333333333329</c:v>
                </c:pt>
                <c:pt idx="145" formatCode="0.0%">
                  <c:v>0.88500000000000001</c:v>
                </c:pt>
                <c:pt idx="146" formatCode="0.0%">
                  <c:v>0.88833333333333331</c:v>
                </c:pt>
                <c:pt idx="147" formatCode="0.0%">
                  <c:v>0.88666666666666671</c:v>
                </c:pt>
                <c:pt idx="148" formatCode="0.0%">
                  <c:v>0.86833333333333329</c:v>
                </c:pt>
                <c:pt idx="149" formatCode="0.0%">
                  <c:v>0.87666666666666671</c:v>
                </c:pt>
                <c:pt idx="150" formatCode="0.0%">
                  <c:v>0.88500000000000001</c:v>
                </c:pt>
                <c:pt idx="151" formatCode="0.0%">
                  <c:v>0.8783333333333333</c:v>
                </c:pt>
              </c:numCache>
            </c:numRef>
          </c:xVal>
          <c:yVal>
            <c:numRef>
              <c:f>summary!$J$2:$J$154</c:f>
              <c:numCache>
                <c:formatCode>0</c:formatCode>
                <c:ptCount val="152"/>
                <c:pt idx="1">
                  <c:v>1369.3</c:v>
                </c:pt>
                <c:pt idx="6">
                  <c:v>1319.9</c:v>
                </c:pt>
                <c:pt idx="7">
                  <c:v>1338</c:v>
                </c:pt>
                <c:pt idx="9">
                  <c:v>1334.9</c:v>
                </c:pt>
                <c:pt idx="10">
                  <c:v>1341.9</c:v>
                </c:pt>
                <c:pt idx="12">
                  <c:v>1343.4</c:v>
                </c:pt>
                <c:pt idx="14">
                  <c:v>1328.4</c:v>
                </c:pt>
                <c:pt idx="15">
                  <c:v>1293.3</c:v>
                </c:pt>
                <c:pt idx="16">
                  <c:v>1328.2</c:v>
                </c:pt>
                <c:pt idx="17">
                  <c:v>1329.7</c:v>
                </c:pt>
                <c:pt idx="18">
                  <c:v>1303.7</c:v>
                </c:pt>
                <c:pt idx="19">
                  <c:v>1337.6</c:v>
                </c:pt>
                <c:pt idx="20">
                  <c:v>1334.4</c:v>
                </c:pt>
                <c:pt idx="23">
                  <c:v>1324</c:v>
                </c:pt>
                <c:pt idx="24">
                  <c:v>1334</c:v>
                </c:pt>
                <c:pt idx="32">
                  <c:v>1404</c:v>
                </c:pt>
                <c:pt idx="33">
                  <c:v>1308</c:v>
                </c:pt>
                <c:pt idx="34">
                  <c:v>1366</c:v>
                </c:pt>
                <c:pt idx="35">
                  <c:v>1391</c:v>
                </c:pt>
                <c:pt idx="37">
                  <c:v>1368</c:v>
                </c:pt>
                <c:pt idx="42">
                  <c:v>1394</c:v>
                </c:pt>
                <c:pt idx="45">
                  <c:v>1402</c:v>
                </c:pt>
                <c:pt idx="46">
                  <c:v>1395</c:v>
                </c:pt>
                <c:pt idx="47">
                  <c:v>1361</c:v>
                </c:pt>
                <c:pt idx="52">
                  <c:v>1371</c:v>
                </c:pt>
                <c:pt idx="53">
                  <c:v>1363</c:v>
                </c:pt>
                <c:pt idx="54">
                  <c:v>1410</c:v>
                </c:pt>
                <c:pt idx="55">
                  <c:v>1425</c:v>
                </c:pt>
                <c:pt idx="56">
                  <c:v>1386</c:v>
                </c:pt>
                <c:pt idx="60">
                  <c:v>1387</c:v>
                </c:pt>
                <c:pt idx="61">
                  <c:v>1348</c:v>
                </c:pt>
                <c:pt idx="62">
                  <c:v>1380</c:v>
                </c:pt>
                <c:pt idx="63">
                  <c:v>1392</c:v>
                </c:pt>
                <c:pt idx="64">
                  <c:v>1394</c:v>
                </c:pt>
                <c:pt idx="65">
                  <c:v>1386.5</c:v>
                </c:pt>
                <c:pt idx="66">
                  <c:v>1342.6</c:v>
                </c:pt>
                <c:pt idx="67">
                  <c:v>1381.5</c:v>
                </c:pt>
                <c:pt idx="68">
                  <c:v>1430</c:v>
                </c:pt>
                <c:pt idx="69">
                  <c:v>1423</c:v>
                </c:pt>
                <c:pt idx="70">
                  <c:v>1403</c:v>
                </c:pt>
                <c:pt idx="71">
                  <c:v>1376</c:v>
                </c:pt>
                <c:pt idx="72">
                  <c:v>1389.9</c:v>
                </c:pt>
                <c:pt idx="74">
                  <c:v>1390.1</c:v>
                </c:pt>
                <c:pt idx="75">
                  <c:v>1393.6</c:v>
                </c:pt>
                <c:pt idx="78">
                  <c:v>1377.2</c:v>
                </c:pt>
                <c:pt idx="79">
                  <c:v>1380.4</c:v>
                </c:pt>
                <c:pt idx="80">
                  <c:v>1367.4</c:v>
                </c:pt>
                <c:pt idx="82">
                  <c:v>1354.5</c:v>
                </c:pt>
                <c:pt idx="84">
                  <c:v>1393.2</c:v>
                </c:pt>
                <c:pt idx="85">
                  <c:v>1381.1</c:v>
                </c:pt>
                <c:pt idx="86">
                  <c:v>1408.5</c:v>
                </c:pt>
                <c:pt idx="87">
                  <c:v>1443.2</c:v>
                </c:pt>
                <c:pt idx="88">
                  <c:v>1356.2</c:v>
                </c:pt>
                <c:pt idx="89">
                  <c:v>1409.2</c:v>
                </c:pt>
                <c:pt idx="91">
                  <c:v>1394.7</c:v>
                </c:pt>
                <c:pt idx="92">
                  <c:v>1402.6</c:v>
                </c:pt>
                <c:pt idx="93">
                  <c:v>1406.1</c:v>
                </c:pt>
                <c:pt idx="94">
                  <c:v>1387.1</c:v>
                </c:pt>
                <c:pt idx="96">
                  <c:v>1362.5</c:v>
                </c:pt>
                <c:pt idx="97">
                  <c:v>1429.3</c:v>
                </c:pt>
                <c:pt idx="98">
                  <c:v>1428.9</c:v>
                </c:pt>
                <c:pt idx="101">
                  <c:v>1405.7</c:v>
                </c:pt>
                <c:pt idx="102">
                  <c:v>1399.8</c:v>
                </c:pt>
                <c:pt idx="105">
                  <c:v>1400.1</c:v>
                </c:pt>
                <c:pt idx="107">
                  <c:v>1352.6</c:v>
                </c:pt>
                <c:pt idx="108">
                  <c:v>1346.4</c:v>
                </c:pt>
                <c:pt idx="109">
                  <c:v>1403.7</c:v>
                </c:pt>
                <c:pt idx="110">
                  <c:v>1424.2</c:v>
                </c:pt>
                <c:pt idx="111">
                  <c:v>1439.6</c:v>
                </c:pt>
                <c:pt idx="112">
                  <c:v>1411.4</c:v>
                </c:pt>
                <c:pt idx="114">
                  <c:v>1429.8</c:v>
                </c:pt>
                <c:pt idx="116">
                  <c:v>1415.9</c:v>
                </c:pt>
                <c:pt idx="117">
                  <c:v>1409.6</c:v>
                </c:pt>
                <c:pt idx="119">
                  <c:v>1451.7</c:v>
                </c:pt>
                <c:pt idx="121">
                  <c:v>1415.9</c:v>
                </c:pt>
                <c:pt idx="127">
                  <c:v>1423.4</c:v>
                </c:pt>
                <c:pt idx="128">
                  <c:v>1456.1</c:v>
                </c:pt>
                <c:pt idx="129">
                  <c:v>1454.3</c:v>
                </c:pt>
                <c:pt idx="131">
                  <c:v>1470.5</c:v>
                </c:pt>
                <c:pt idx="133">
                  <c:v>1450.8</c:v>
                </c:pt>
                <c:pt idx="134">
                  <c:v>1420.2</c:v>
                </c:pt>
                <c:pt idx="135">
                  <c:v>1498.4</c:v>
                </c:pt>
                <c:pt idx="136">
                  <c:v>1487.6</c:v>
                </c:pt>
                <c:pt idx="137">
                  <c:v>1449.4</c:v>
                </c:pt>
                <c:pt idx="138">
                  <c:v>1459.3</c:v>
                </c:pt>
                <c:pt idx="139">
                  <c:v>1454.2</c:v>
                </c:pt>
                <c:pt idx="140">
                  <c:v>1419.2</c:v>
                </c:pt>
                <c:pt idx="141">
                  <c:v>1426.1</c:v>
                </c:pt>
                <c:pt idx="143">
                  <c:v>1534.2</c:v>
                </c:pt>
                <c:pt idx="144">
                  <c:v>1503.3</c:v>
                </c:pt>
                <c:pt idx="145">
                  <c:v>1511.9</c:v>
                </c:pt>
                <c:pt idx="150">
                  <c:v>1533.8</c:v>
                </c:pt>
                <c:pt idx="151">
                  <c:v>1544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3F-47A3-9B06-676C45FD2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145600"/>
        <c:axId val="239144352"/>
      </c:scatterChart>
      <c:valAx>
        <c:axId val="239145600"/>
        <c:scaling>
          <c:orientation val="minMax"/>
          <c:min val="0.650000000000000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144352"/>
        <c:crosses val="autoZero"/>
        <c:crossBetween val="midCat"/>
      </c:valAx>
      <c:valAx>
        <c:axId val="239144352"/>
        <c:scaling>
          <c:orientation val="minMax"/>
          <c:max val="1525"/>
          <c:min val="13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145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45720</xdr:colOff>
      <xdr:row>131</xdr:row>
      <xdr:rowOff>156210</xdr:rowOff>
    </xdr:from>
    <xdr:to>
      <xdr:col>24</xdr:col>
      <xdr:colOff>365760</xdr:colOff>
      <xdr:row>159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502920</xdr:colOff>
      <xdr:row>98</xdr:row>
      <xdr:rowOff>15240</xdr:rowOff>
    </xdr:from>
    <xdr:to>
      <xdr:col>24</xdr:col>
      <xdr:colOff>220980</xdr:colOff>
      <xdr:row>117</xdr:row>
      <xdr:rowOff>68586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30480</xdr:colOff>
          <xdr:row>160</xdr:row>
          <xdr:rowOff>7620</xdr:rowOff>
        </xdr:from>
        <xdr:to>
          <xdr:col>14</xdr:col>
          <xdr:colOff>335280</xdr:colOff>
          <xdr:row>161</xdr:row>
          <xdr:rowOff>129540</xdr:rowOff>
        </xdr:to>
        <xdr:sp macro="" textlink="">
          <xdr:nvSpPr>
            <xdr:cNvPr id="1026" name="a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7"/>
  <sheetViews>
    <sheetView workbookViewId="0">
      <selection activeCell="F1" sqref="F1:F27"/>
    </sheetView>
  </sheetViews>
  <sheetFormatPr defaultRowHeight="14.4" x14ac:dyDescent="0.3"/>
  <cols>
    <col min="1" max="2" width="19" customWidth="1"/>
  </cols>
  <sheetData>
    <row r="1" spans="1:6" x14ac:dyDescent="0.3">
      <c r="A1" t="s">
        <v>3</v>
      </c>
      <c r="B1" t="s">
        <v>4</v>
      </c>
      <c r="C1" t="s">
        <v>0</v>
      </c>
      <c r="D1" t="s">
        <v>1</v>
      </c>
      <c r="E1" t="s">
        <v>2</v>
      </c>
      <c r="F1">
        <v>12</v>
      </c>
    </row>
    <row r="2" spans="1:6" x14ac:dyDescent="0.3">
      <c r="A2" t="s">
        <v>3</v>
      </c>
      <c r="B2" t="s">
        <v>5</v>
      </c>
      <c r="C2" t="s">
        <v>0</v>
      </c>
      <c r="D2" t="s">
        <v>1</v>
      </c>
      <c r="E2" t="s">
        <v>2</v>
      </c>
      <c r="F2">
        <v>12</v>
      </c>
    </row>
    <row r="3" spans="1:6" x14ac:dyDescent="0.3">
      <c r="A3" t="s">
        <v>3</v>
      </c>
      <c r="B3" t="s">
        <v>6</v>
      </c>
      <c r="C3" t="s">
        <v>0</v>
      </c>
      <c r="D3" t="s">
        <v>1</v>
      </c>
      <c r="E3" t="s">
        <v>2</v>
      </c>
      <c r="F3">
        <v>11</v>
      </c>
    </row>
    <row r="4" spans="1:6" x14ac:dyDescent="0.3">
      <c r="A4" t="s">
        <v>3</v>
      </c>
      <c r="B4" t="s">
        <v>7</v>
      </c>
      <c r="C4" t="s">
        <v>0</v>
      </c>
      <c r="D4" t="s">
        <v>1</v>
      </c>
      <c r="E4" t="s">
        <v>2</v>
      </c>
      <c r="F4">
        <v>8</v>
      </c>
    </row>
    <row r="5" spans="1:6" x14ac:dyDescent="0.3">
      <c r="A5" t="s">
        <v>3</v>
      </c>
      <c r="B5" t="s">
        <v>8</v>
      </c>
      <c r="C5" t="s">
        <v>0</v>
      </c>
      <c r="D5" t="s">
        <v>1</v>
      </c>
      <c r="E5" t="s">
        <v>2</v>
      </c>
      <c r="F5">
        <v>5</v>
      </c>
    </row>
    <row r="6" spans="1:6" x14ac:dyDescent="0.3">
      <c r="A6" t="s">
        <v>3</v>
      </c>
      <c r="B6" t="s">
        <v>9</v>
      </c>
      <c r="C6" t="s">
        <v>0</v>
      </c>
      <c r="D6" t="s">
        <v>1</v>
      </c>
      <c r="E6" t="s">
        <v>2</v>
      </c>
      <c r="F6">
        <v>5</v>
      </c>
    </row>
    <row r="7" spans="1:6" x14ac:dyDescent="0.3">
      <c r="A7" t="s">
        <v>3</v>
      </c>
      <c r="B7" t="s">
        <v>10</v>
      </c>
      <c r="C7" t="s">
        <v>0</v>
      </c>
      <c r="D7" t="s">
        <v>1</v>
      </c>
      <c r="E7" t="s">
        <v>2</v>
      </c>
      <c r="F7">
        <v>9</v>
      </c>
    </row>
    <row r="8" spans="1:6" x14ac:dyDescent="0.3">
      <c r="A8" t="s">
        <v>3</v>
      </c>
      <c r="B8" t="s">
        <v>11</v>
      </c>
      <c r="C8" t="s">
        <v>0</v>
      </c>
      <c r="D8" t="s">
        <v>1</v>
      </c>
      <c r="E8" t="s">
        <v>2</v>
      </c>
      <c r="F8">
        <v>9</v>
      </c>
    </row>
    <row r="9" spans="1:6" x14ac:dyDescent="0.3">
      <c r="A9" t="s">
        <v>3</v>
      </c>
      <c r="B9" t="s">
        <v>12</v>
      </c>
      <c r="C9" t="s">
        <v>0</v>
      </c>
      <c r="D9" t="s">
        <v>1</v>
      </c>
      <c r="E9" t="s">
        <v>2</v>
      </c>
      <c r="F9">
        <v>9</v>
      </c>
    </row>
    <row r="10" spans="1:6" x14ac:dyDescent="0.3">
      <c r="A10" t="s">
        <v>3</v>
      </c>
      <c r="B10" t="s">
        <v>13</v>
      </c>
      <c r="C10" t="s">
        <v>0</v>
      </c>
      <c r="D10" t="s">
        <v>1</v>
      </c>
      <c r="E10" t="s">
        <v>2</v>
      </c>
      <c r="F10">
        <v>8</v>
      </c>
    </row>
    <row r="11" spans="1:6" x14ac:dyDescent="0.3">
      <c r="A11" t="s">
        <v>3</v>
      </c>
      <c r="B11" t="s">
        <v>14</v>
      </c>
      <c r="C11" t="s">
        <v>0</v>
      </c>
      <c r="D11" t="s">
        <v>1</v>
      </c>
      <c r="E11" t="s">
        <v>2</v>
      </c>
      <c r="F11">
        <v>8</v>
      </c>
    </row>
    <row r="12" spans="1:6" x14ac:dyDescent="0.3">
      <c r="A12" t="s">
        <v>3</v>
      </c>
      <c r="B12" t="s">
        <v>15</v>
      </c>
      <c r="C12" t="s">
        <v>0</v>
      </c>
      <c r="D12" t="s">
        <v>1</v>
      </c>
      <c r="E12" t="s">
        <v>2</v>
      </c>
      <c r="F12">
        <v>9</v>
      </c>
    </row>
    <row r="13" spans="1:6" x14ac:dyDescent="0.3">
      <c r="A13" t="s">
        <v>3</v>
      </c>
      <c r="B13" t="s">
        <v>16</v>
      </c>
      <c r="C13" t="s">
        <v>0</v>
      </c>
      <c r="D13" t="s">
        <v>1</v>
      </c>
      <c r="E13" t="s">
        <v>2</v>
      </c>
      <c r="F13">
        <v>12</v>
      </c>
    </row>
    <row r="14" spans="1:6" x14ac:dyDescent="0.3">
      <c r="A14" t="s">
        <v>3</v>
      </c>
      <c r="B14" t="s">
        <v>17</v>
      </c>
      <c r="C14" t="s">
        <v>0</v>
      </c>
      <c r="D14" t="s">
        <v>1</v>
      </c>
      <c r="E14" t="s">
        <v>2</v>
      </c>
      <c r="F14">
        <v>6</v>
      </c>
    </row>
    <row r="15" spans="1:6" x14ac:dyDescent="0.3">
      <c r="A15" t="s">
        <v>3</v>
      </c>
      <c r="B15" t="s">
        <v>18</v>
      </c>
      <c r="C15" t="s">
        <v>0</v>
      </c>
      <c r="D15" t="s">
        <v>1</v>
      </c>
      <c r="E15" t="s">
        <v>2</v>
      </c>
      <c r="F15">
        <v>7</v>
      </c>
    </row>
    <row r="16" spans="1:6" x14ac:dyDescent="0.3">
      <c r="A16" t="s">
        <v>3</v>
      </c>
      <c r="B16" t="s">
        <v>19</v>
      </c>
      <c r="C16" t="s">
        <v>0</v>
      </c>
      <c r="D16" t="s">
        <v>1</v>
      </c>
      <c r="E16" t="s">
        <v>2</v>
      </c>
      <c r="F16">
        <v>5</v>
      </c>
    </row>
    <row r="17" spans="1:6" x14ac:dyDescent="0.3">
      <c r="A17" t="s">
        <v>3</v>
      </c>
      <c r="B17" t="s">
        <v>20</v>
      </c>
      <c r="C17" t="s">
        <v>0</v>
      </c>
      <c r="D17" t="s">
        <v>1</v>
      </c>
      <c r="E17" t="s">
        <v>2</v>
      </c>
      <c r="F17">
        <v>6</v>
      </c>
    </row>
    <row r="18" spans="1:6" x14ac:dyDescent="0.3">
      <c r="A18" t="s">
        <v>3</v>
      </c>
      <c r="B18" t="s">
        <v>21</v>
      </c>
      <c r="C18" t="s">
        <v>0</v>
      </c>
      <c r="D18" t="s">
        <v>1</v>
      </c>
      <c r="E18" t="s">
        <v>2</v>
      </c>
      <c r="F18">
        <v>6</v>
      </c>
    </row>
    <row r="19" spans="1:6" x14ac:dyDescent="0.3">
      <c r="A19" t="s">
        <v>3</v>
      </c>
      <c r="B19" t="s">
        <v>22</v>
      </c>
      <c r="C19" t="s">
        <v>0</v>
      </c>
      <c r="D19" t="s">
        <v>1</v>
      </c>
      <c r="E19" t="s">
        <v>2</v>
      </c>
      <c r="F19">
        <v>5</v>
      </c>
    </row>
    <row r="20" spans="1:6" x14ac:dyDescent="0.3">
      <c r="A20" t="s">
        <v>3</v>
      </c>
      <c r="B20" t="s">
        <v>23</v>
      </c>
      <c r="C20" t="s">
        <v>0</v>
      </c>
      <c r="D20" t="s">
        <v>1</v>
      </c>
      <c r="E20" t="s">
        <v>2</v>
      </c>
      <c r="F20">
        <v>5</v>
      </c>
    </row>
    <row r="21" spans="1:6" x14ac:dyDescent="0.3">
      <c r="A21" t="s">
        <v>3</v>
      </c>
      <c r="B21" t="s">
        <v>24</v>
      </c>
      <c r="C21" t="s">
        <v>0</v>
      </c>
      <c r="D21" t="s">
        <v>1</v>
      </c>
      <c r="E21" t="s">
        <v>2</v>
      </c>
      <c r="F21">
        <v>6</v>
      </c>
    </row>
    <row r="22" spans="1:6" x14ac:dyDescent="0.3">
      <c r="A22" t="s">
        <v>3</v>
      </c>
      <c r="B22" t="s">
        <v>25</v>
      </c>
      <c r="C22" t="s">
        <v>0</v>
      </c>
      <c r="D22" t="s">
        <v>1</v>
      </c>
      <c r="E22" t="s">
        <v>2</v>
      </c>
      <c r="F22">
        <v>6</v>
      </c>
    </row>
    <row r="23" spans="1:6" x14ac:dyDescent="0.3">
      <c r="A23" t="s">
        <v>3</v>
      </c>
      <c r="B23" t="s">
        <v>26</v>
      </c>
      <c r="C23" t="s">
        <v>0</v>
      </c>
      <c r="D23" t="s">
        <v>1</v>
      </c>
      <c r="E23" t="s">
        <v>2</v>
      </c>
      <c r="F23">
        <v>3</v>
      </c>
    </row>
    <row r="24" spans="1:6" x14ac:dyDescent="0.3">
      <c r="A24" t="s">
        <v>3</v>
      </c>
      <c r="B24" t="s">
        <v>27</v>
      </c>
      <c r="C24" t="s">
        <v>0</v>
      </c>
      <c r="D24" t="s">
        <v>1</v>
      </c>
      <c r="E24" t="s">
        <v>2</v>
      </c>
      <c r="F24">
        <v>7</v>
      </c>
    </row>
    <row r="25" spans="1:6" x14ac:dyDescent="0.3">
      <c r="A25" t="s">
        <v>3</v>
      </c>
      <c r="B25" t="s">
        <v>28</v>
      </c>
      <c r="C25" t="s">
        <v>0</v>
      </c>
      <c r="D25" t="s">
        <v>1</v>
      </c>
      <c r="E25" t="s">
        <v>2</v>
      </c>
      <c r="F25">
        <v>3</v>
      </c>
    </row>
    <row r="26" spans="1:6" x14ac:dyDescent="0.3">
      <c r="A26" t="s">
        <v>3</v>
      </c>
      <c r="B26" t="s">
        <v>29</v>
      </c>
      <c r="C26" t="s">
        <v>0</v>
      </c>
      <c r="D26" t="s">
        <v>1</v>
      </c>
      <c r="E26" t="s">
        <v>2</v>
      </c>
      <c r="F26">
        <v>4</v>
      </c>
    </row>
    <row r="27" spans="1:6" x14ac:dyDescent="0.3">
      <c r="A27" t="s">
        <v>3</v>
      </c>
      <c r="B27" t="s">
        <v>30</v>
      </c>
      <c r="C27" t="s">
        <v>0</v>
      </c>
      <c r="D27" t="s">
        <v>1</v>
      </c>
      <c r="E27" t="s">
        <v>2</v>
      </c>
      <c r="F27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3202F-C81C-4323-B669-7F64BAB3058E}">
  <sheetPr codeName="Sheet2"/>
  <dimension ref="A1:D41"/>
  <sheetViews>
    <sheetView topLeftCell="A27" workbookViewId="0">
      <selection activeCell="D41" sqref="D1:D41"/>
    </sheetView>
  </sheetViews>
  <sheetFormatPr defaultRowHeight="14.4" x14ac:dyDescent="0.3"/>
  <cols>
    <col min="2" max="2" width="20.5546875" customWidth="1"/>
  </cols>
  <sheetData>
    <row r="1" spans="1:4" x14ac:dyDescent="0.3">
      <c r="A1" t="s">
        <v>31</v>
      </c>
      <c r="B1" t="s">
        <v>32</v>
      </c>
      <c r="C1" t="s">
        <v>33</v>
      </c>
      <c r="D1">
        <v>84</v>
      </c>
    </row>
    <row r="2" spans="1:4" x14ac:dyDescent="0.3">
      <c r="A2" t="s">
        <v>31</v>
      </c>
      <c r="B2" t="s">
        <v>34</v>
      </c>
      <c r="C2" t="s">
        <v>33</v>
      </c>
      <c r="D2">
        <v>75</v>
      </c>
    </row>
    <row r="3" spans="1:4" x14ac:dyDescent="0.3">
      <c r="A3" t="s">
        <v>31</v>
      </c>
      <c r="B3" t="s">
        <v>35</v>
      </c>
      <c r="C3" t="s">
        <v>33</v>
      </c>
      <c r="D3">
        <v>78</v>
      </c>
    </row>
    <row r="4" spans="1:4" x14ac:dyDescent="0.3">
      <c r="A4" t="s">
        <v>31</v>
      </c>
      <c r="B4" t="s">
        <v>36</v>
      </c>
      <c r="C4" t="s">
        <v>33</v>
      </c>
      <c r="D4">
        <v>87</v>
      </c>
    </row>
    <row r="5" spans="1:4" x14ac:dyDescent="0.3">
      <c r="A5" t="s">
        <v>31</v>
      </c>
      <c r="B5" t="s">
        <v>37</v>
      </c>
      <c r="C5" t="s">
        <v>33</v>
      </c>
      <c r="D5">
        <v>85</v>
      </c>
    </row>
    <row r="6" spans="1:4" x14ac:dyDescent="0.3">
      <c r="A6" t="s">
        <v>31</v>
      </c>
      <c r="B6" t="s">
        <v>38</v>
      </c>
      <c r="C6" t="s">
        <v>33</v>
      </c>
      <c r="D6">
        <v>84</v>
      </c>
    </row>
    <row r="7" spans="1:4" x14ac:dyDescent="0.3">
      <c r="A7" t="s">
        <v>31</v>
      </c>
      <c r="B7" t="s">
        <v>39</v>
      </c>
      <c r="C7" t="s">
        <v>33</v>
      </c>
      <c r="D7">
        <v>82</v>
      </c>
    </row>
    <row r="8" spans="1:4" x14ac:dyDescent="0.3">
      <c r="A8" t="s">
        <v>31</v>
      </c>
      <c r="B8" t="s">
        <v>40</v>
      </c>
      <c r="C8" t="s">
        <v>33</v>
      </c>
      <c r="D8">
        <v>83</v>
      </c>
    </row>
    <row r="9" spans="1:4" x14ac:dyDescent="0.3">
      <c r="A9" t="s">
        <v>31</v>
      </c>
      <c r="B9" t="s">
        <v>41</v>
      </c>
      <c r="C9" t="s">
        <v>33</v>
      </c>
      <c r="D9">
        <v>74</v>
      </c>
    </row>
    <row r="10" spans="1:4" x14ac:dyDescent="0.3">
      <c r="A10" t="s">
        <v>31</v>
      </c>
      <c r="B10" t="s">
        <v>42</v>
      </c>
      <c r="C10" t="s">
        <v>33</v>
      </c>
      <c r="D10">
        <v>85</v>
      </c>
    </row>
    <row r="11" spans="1:4" x14ac:dyDescent="0.3">
      <c r="A11" t="s">
        <v>31</v>
      </c>
      <c r="B11" t="s">
        <v>43</v>
      </c>
      <c r="C11" t="s">
        <v>33</v>
      </c>
      <c r="D11">
        <v>86</v>
      </c>
    </row>
    <row r="12" spans="1:4" x14ac:dyDescent="0.3">
      <c r="A12" t="s">
        <v>31</v>
      </c>
      <c r="B12" t="s">
        <v>44</v>
      </c>
      <c r="C12" t="s">
        <v>33</v>
      </c>
      <c r="D12">
        <v>93</v>
      </c>
    </row>
    <row r="13" spans="1:4" x14ac:dyDescent="0.3">
      <c r="A13" t="s">
        <v>31</v>
      </c>
      <c r="B13" t="s">
        <v>45</v>
      </c>
      <c r="C13" t="s">
        <v>33</v>
      </c>
      <c r="D13">
        <v>92</v>
      </c>
    </row>
    <row r="14" spans="1:4" x14ac:dyDescent="0.3">
      <c r="A14" t="s">
        <v>31</v>
      </c>
      <c r="B14" t="s">
        <v>46</v>
      </c>
      <c r="C14" t="s">
        <v>33</v>
      </c>
      <c r="D14">
        <v>88</v>
      </c>
    </row>
    <row r="15" spans="1:4" x14ac:dyDescent="0.3">
      <c r="A15" t="s">
        <v>31</v>
      </c>
      <c r="B15" t="s">
        <v>47</v>
      </c>
      <c r="C15" t="s">
        <v>33</v>
      </c>
      <c r="D15">
        <v>85</v>
      </c>
    </row>
    <row r="16" spans="1:4" x14ac:dyDescent="0.3">
      <c r="A16" t="s">
        <v>31</v>
      </c>
      <c r="B16" t="s">
        <v>48</v>
      </c>
      <c r="C16" t="s">
        <v>33</v>
      </c>
      <c r="D16">
        <v>81</v>
      </c>
    </row>
    <row r="17" spans="1:4" x14ac:dyDescent="0.3">
      <c r="A17" t="s">
        <v>31</v>
      </c>
      <c r="B17" t="s">
        <v>4</v>
      </c>
      <c r="C17" t="s">
        <v>33</v>
      </c>
      <c r="D17">
        <v>77</v>
      </c>
    </row>
    <row r="18" spans="1:4" x14ac:dyDescent="0.3">
      <c r="A18" t="s">
        <v>31</v>
      </c>
      <c r="B18" t="s">
        <v>49</v>
      </c>
      <c r="C18" t="s">
        <v>33</v>
      </c>
      <c r="D18">
        <v>80</v>
      </c>
    </row>
    <row r="19" spans="1:4" x14ac:dyDescent="0.3">
      <c r="A19" t="s">
        <v>31</v>
      </c>
      <c r="B19" t="s">
        <v>50</v>
      </c>
      <c r="C19" t="s">
        <v>33</v>
      </c>
      <c r="D19">
        <v>77</v>
      </c>
    </row>
    <row r="20" spans="1:4" x14ac:dyDescent="0.3">
      <c r="A20" t="s">
        <v>31</v>
      </c>
      <c r="B20" t="s">
        <v>5</v>
      </c>
      <c r="C20" t="s">
        <v>33</v>
      </c>
      <c r="D20">
        <v>72</v>
      </c>
    </row>
    <row r="21" spans="1:4" x14ac:dyDescent="0.3">
      <c r="A21" t="s">
        <v>31</v>
      </c>
      <c r="B21" t="s">
        <v>6</v>
      </c>
      <c r="C21" t="s">
        <v>33</v>
      </c>
      <c r="D21">
        <v>68</v>
      </c>
    </row>
    <row r="22" spans="1:4" x14ac:dyDescent="0.3">
      <c r="A22" t="s">
        <v>31</v>
      </c>
      <c r="B22" t="s">
        <v>7</v>
      </c>
      <c r="C22" t="s">
        <v>33</v>
      </c>
      <c r="D22">
        <v>62</v>
      </c>
    </row>
    <row r="23" spans="1:4" x14ac:dyDescent="0.3">
      <c r="A23" t="s">
        <v>31</v>
      </c>
      <c r="B23" t="s">
        <v>8</v>
      </c>
      <c r="C23" t="s">
        <v>33</v>
      </c>
      <c r="D23">
        <v>63</v>
      </c>
    </row>
    <row r="24" spans="1:4" x14ac:dyDescent="0.3">
      <c r="A24" t="s">
        <v>31</v>
      </c>
      <c r="B24" t="s">
        <v>10</v>
      </c>
      <c r="C24" t="s">
        <v>33</v>
      </c>
      <c r="D24">
        <v>65</v>
      </c>
    </row>
    <row r="25" spans="1:4" x14ac:dyDescent="0.3">
      <c r="A25" t="s">
        <v>31</v>
      </c>
      <c r="B25" t="s">
        <v>11</v>
      </c>
      <c r="C25" t="s">
        <v>33</v>
      </c>
      <c r="D25">
        <v>67</v>
      </c>
    </row>
    <row r="26" spans="1:4" x14ac:dyDescent="0.3">
      <c r="A26" t="s">
        <v>31</v>
      </c>
      <c r="B26" t="s">
        <v>13</v>
      </c>
      <c r="C26" t="s">
        <v>33</v>
      </c>
      <c r="D26">
        <v>62</v>
      </c>
    </row>
    <row r="27" spans="1:4" x14ac:dyDescent="0.3">
      <c r="A27" t="s">
        <v>31</v>
      </c>
      <c r="B27" t="s">
        <v>14</v>
      </c>
      <c r="C27" t="s">
        <v>33</v>
      </c>
      <c r="D27">
        <v>62</v>
      </c>
    </row>
    <row r="28" spans="1:4" x14ac:dyDescent="0.3">
      <c r="A28" t="s">
        <v>31</v>
      </c>
      <c r="B28" t="s">
        <v>15</v>
      </c>
      <c r="C28" t="s">
        <v>33</v>
      </c>
      <c r="D28">
        <v>64</v>
      </c>
    </row>
    <row r="29" spans="1:4" x14ac:dyDescent="0.3">
      <c r="A29" t="s">
        <v>31</v>
      </c>
      <c r="B29" t="s">
        <v>16</v>
      </c>
      <c r="C29" t="s">
        <v>33</v>
      </c>
      <c r="D29">
        <v>60</v>
      </c>
    </row>
    <row r="30" spans="1:4" x14ac:dyDescent="0.3">
      <c r="A30" t="s">
        <v>31</v>
      </c>
      <c r="B30" t="s">
        <v>17</v>
      </c>
      <c r="C30" t="s">
        <v>33</v>
      </c>
      <c r="D30">
        <v>59</v>
      </c>
    </row>
    <row r="31" spans="1:4" x14ac:dyDescent="0.3">
      <c r="A31" t="s">
        <v>31</v>
      </c>
      <c r="B31" t="s">
        <v>18</v>
      </c>
      <c r="C31" t="s">
        <v>33</v>
      </c>
      <c r="D31">
        <v>57</v>
      </c>
    </row>
    <row r="32" spans="1:4" x14ac:dyDescent="0.3">
      <c r="A32" t="s">
        <v>31</v>
      </c>
      <c r="B32" t="s">
        <v>19</v>
      </c>
      <c r="C32" t="s">
        <v>33</v>
      </c>
      <c r="D32">
        <v>58</v>
      </c>
    </row>
    <row r="33" spans="1:4" x14ac:dyDescent="0.3">
      <c r="A33" t="s">
        <v>31</v>
      </c>
      <c r="B33" t="s">
        <v>20</v>
      </c>
      <c r="C33" t="s">
        <v>33</v>
      </c>
      <c r="D33">
        <v>56</v>
      </c>
    </row>
    <row r="34" spans="1:4" x14ac:dyDescent="0.3">
      <c r="A34" t="s">
        <v>31</v>
      </c>
      <c r="B34" t="s">
        <v>21</v>
      </c>
      <c r="C34" t="s">
        <v>33</v>
      </c>
      <c r="D34">
        <v>55</v>
      </c>
    </row>
    <row r="35" spans="1:4" x14ac:dyDescent="0.3">
      <c r="A35" t="s">
        <v>31</v>
      </c>
      <c r="B35" t="s">
        <v>22</v>
      </c>
      <c r="C35" t="s">
        <v>33</v>
      </c>
      <c r="D35">
        <v>58</v>
      </c>
    </row>
    <row r="36" spans="1:4" x14ac:dyDescent="0.3">
      <c r="A36" t="s">
        <v>31</v>
      </c>
      <c r="B36" t="s">
        <v>23</v>
      </c>
      <c r="C36" t="s">
        <v>33</v>
      </c>
      <c r="D36">
        <v>58</v>
      </c>
    </row>
    <row r="37" spans="1:4" x14ac:dyDescent="0.3">
      <c r="A37" t="s">
        <v>31</v>
      </c>
      <c r="B37" t="s">
        <v>24</v>
      </c>
      <c r="C37" t="s">
        <v>33</v>
      </c>
      <c r="D37">
        <v>56</v>
      </c>
    </row>
    <row r="38" spans="1:4" x14ac:dyDescent="0.3">
      <c r="A38" t="s">
        <v>31</v>
      </c>
      <c r="B38" t="s">
        <v>25</v>
      </c>
      <c r="C38" t="s">
        <v>33</v>
      </c>
      <c r="D38">
        <v>56</v>
      </c>
    </row>
    <row r="39" spans="1:4" x14ac:dyDescent="0.3">
      <c r="A39" t="s">
        <v>31</v>
      </c>
      <c r="B39" t="s">
        <v>26</v>
      </c>
      <c r="C39" t="s">
        <v>33</v>
      </c>
      <c r="D39">
        <v>56</v>
      </c>
    </row>
    <row r="40" spans="1:4" x14ac:dyDescent="0.3">
      <c r="A40" t="s">
        <v>31</v>
      </c>
      <c r="B40" t="s">
        <v>27</v>
      </c>
      <c r="C40" t="s">
        <v>33</v>
      </c>
      <c r="D40">
        <v>64</v>
      </c>
    </row>
    <row r="41" spans="1:4" x14ac:dyDescent="0.3">
      <c r="A41" t="s">
        <v>31</v>
      </c>
      <c r="B41" t="s">
        <v>28</v>
      </c>
      <c r="C41" t="s">
        <v>33</v>
      </c>
      <c r="D41">
        <v>57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EE342-DBC6-45F5-B8C3-642DC33E53FC}">
  <sheetPr codeName="Sheet3"/>
  <dimension ref="A1:Q166"/>
  <sheetViews>
    <sheetView workbookViewId="0">
      <pane ySplit="1" topLeftCell="A150" activePane="bottomLeft" state="frozen"/>
      <selection pane="bottomLeft" activeCell="L166" sqref="L166"/>
    </sheetView>
  </sheetViews>
  <sheetFormatPr defaultRowHeight="14.4" x14ac:dyDescent="0.3"/>
  <cols>
    <col min="1" max="1" width="6.77734375" style="4" customWidth="1"/>
    <col min="2" max="2" width="4.44140625" customWidth="1"/>
    <col min="3" max="3" width="6" customWidth="1"/>
    <col min="4" max="7" width="6" style="2" customWidth="1"/>
    <col min="8" max="8" width="5.6640625" style="2" customWidth="1"/>
    <col min="9" max="9" width="7.6640625" style="2" customWidth="1"/>
    <col min="10" max="11" width="8.88671875" style="3"/>
  </cols>
  <sheetData>
    <row r="1" spans="1:17" x14ac:dyDescent="0.3">
      <c r="B1" t="s">
        <v>3</v>
      </c>
      <c r="C1" t="s">
        <v>31</v>
      </c>
      <c r="D1" s="2" t="s">
        <v>68</v>
      </c>
      <c r="E1" s="2" t="s">
        <v>71</v>
      </c>
      <c r="F1" s="2" t="s">
        <v>110</v>
      </c>
      <c r="G1" s="2" t="s">
        <v>69</v>
      </c>
      <c r="H1" s="2" t="s">
        <v>111</v>
      </c>
      <c r="I1" s="2" t="s">
        <v>106</v>
      </c>
      <c r="J1" s="3" t="s">
        <v>59</v>
      </c>
      <c r="L1" s="2"/>
      <c r="M1" s="2"/>
      <c r="N1" s="2"/>
      <c r="O1" s="2"/>
    </row>
    <row r="2" spans="1:17" x14ac:dyDescent="0.3">
      <c r="A2" s="4" t="s">
        <v>32</v>
      </c>
      <c r="C2">
        <v>84</v>
      </c>
      <c r="L2" s="2" t="e">
        <f>IS</f>
        <v>#NAME?</v>
      </c>
      <c r="M2" s="1"/>
      <c r="N2" s="1"/>
      <c r="O2" s="1"/>
      <c r="Q2" s="2"/>
    </row>
    <row r="3" spans="1:17" x14ac:dyDescent="0.3">
      <c r="A3" s="4" t="s">
        <v>34</v>
      </c>
      <c r="C3">
        <v>75</v>
      </c>
      <c r="J3" s="3">
        <v>1369.3</v>
      </c>
      <c r="L3" s="2"/>
      <c r="M3" s="1"/>
      <c r="N3" s="1"/>
      <c r="O3" s="1"/>
      <c r="P3" s="2"/>
      <c r="Q3" s="2"/>
    </row>
    <row r="4" spans="1:17" x14ac:dyDescent="0.3">
      <c r="A4" s="4" t="s">
        <v>35</v>
      </c>
      <c r="C4">
        <v>78</v>
      </c>
      <c r="L4" s="2"/>
      <c r="M4" s="1"/>
      <c r="N4" s="1"/>
      <c r="O4" s="1"/>
      <c r="P4" s="2"/>
      <c r="Q4" s="2"/>
    </row>
    <row r="5" spans="1:17" x14ac:dyDescent="0.3">
      <c r="A5" s="4" t="s">
        <v>36</v>
      </c>
      <c r="C5">
        <v>87</v>
      </c>
      <c r="L5" s="2"/>
      <c r="M5" s="1"/>
      <c r="N5" s="1"/>
      <c r="O5" s="1"/>
      <c r="P5" s="2"/>
      <c r="Q5" s="2"/>
    </row>
    <row r="6" spans="1:17" x14ac:dyDescent="0.3">
      <c r="A6" s="4" t="s">
        <v>37</v>
      </c>
      <c r="C6">
        <v>85</v>
      </c>
      <c r="L6" s="2"/>
      <c r="M6" s="1"/>
      <c r="N6" s="1"/>
      <c r="O6" s="1"/>
      <c r="P6" s="2"/>
      <c r="Q6" s="2"/>
    </row>
    <row r="7" spans="1:17" x14ac:dyDescent="0.3">
      <c r="A7" s="4" t="s">
        <v>38</v>
      </c>
      <c r="C7">
        <v>84</v>
      </c>
      <c r="L7" s="2"/>
      <c r="M7" s="1"/>
      <c r="N7" s="1"/>
      <c r="O7" s="1"/>
      <c r="P7" s="2"/>
      <c r="Q7" s="2"/>
    </row>
    <row r="8" spans="1:17" x14ac:dyDescent="0.3">
      <c r="A8" s="4" t="s">
        <v>39</v>
      </c>
      <c r="C8">
        <v>82</v>
      </c>
      <c r="J8" s="3">
        <v>1319.9</v>
      </c>
      <c r="L8" s="2"/>
      <c r="M8" s="1"/>
      <c r="N8" s="1"/>
      <c r="O8" s="1"/>
      <c r="P8" s="2"/>
      <c r="Q8" s="2"/>
    </row>
    <row r="9" spans="1:17" s="2" customFormat="1" x14ac:dyDescent="0.3">
      <c r="A9" s="4" t="s">
        <v>60</v>
      </c>
      <c r="J9" s="3">
        <v>1338</v>
      </c>
      <c r="K9" s="3"/>
      <c r="M9" s="1"/>
      <c r="N9" s="1"/>
      <c r="O9" s="1"/>
    </row>
    <row r="10" spans="1:17" x14ac:dyDescent="0.3">
      <c r="A10" s="4" t="s">
        <v>40</v>
      </c>
      <c r="C10">
        <v>83</v>
      </c>
      <c r="L10" s="2"/>
      <c r="M10" s="1"/>
      <c r="N10" s="1"/>
      <c r="O10" s="1"/>
      <c r="P10" s="2"/>
      <c r="Q10" s="2"/>
    </row>
    <row r="11" spans="1:17" x14ac:dyDescent="0.3">
      <c r="A11" s="4" t="s">
        <v>41</v>
      </c>
      <c r="C11">
        <v>74</v>
      </c>
      <c r="J11" s="3">
        <v>1334.9</v>
      </c>
      <c r="L11" s="2"/>
      <c r="M11" s="1"/>
      <c r="N11" s="1"/>
      <c r="O11" s="1"/>
      <c r="P11" s="2"/>
      <c r="Q11" s="2"/>
    </row>
    <row r="12" spans="1:17" x14ac:dyDescent="0.3">
      <c r="A12" s="4" t="s">
        <v>42</v>
      </c>
      <c r="C12">
        <v>85</v>
      </c>
      <c r="J12" s="3">
        <v>1341.9</v>
      </c>
      <c r="L12" s="2"/>
      <c r="M12" s="1"/>
      <c r="N12" s="1"/>
      <c r="O12" s="1"/>
      <c r="P12" s="2"/>
      <c r="Q12" s="2"/>
    </row>
    <row r="13" spans="1:17" x14ac:dyDescent="0.3">
      <c r="A13" s="4" t="s">
        <v>43</v>
      </c>
      <c r="C13">
        <v>86</v>
      </c>
      <c r="L13" s="2"/>
      <c r="M13" s="1"/>
      <c r="N13" s="1"/>
      <c r="O13" s="1"/>
      <c r="P13" s="2"/>
      <c r="Q13" s="2"/>
    </row>
    <row r="14" spans="1:17" x14ac:dyDescent="0.3">
      <c r="A14" s="4" t="s">
        <v>44</v>
      </c>
      <c r="C14">
        <v>93</v>
      </c>
      <c r="J14" s="3">
        <v>1343.4</v>
      </c>
      <c r="L14" s="2"/>
      <c r="M14" s="1"/>
      <c r="N14" s="1"/>
      <c r="O14" s="1"/>
      <c r="P14" s="2"/>
      <c r="Q14" s="2"/>
    </row>
    <row r="15" spans="1:17" x14ac:dyDescent="0.3">
      <c r="A15" s="4" t="s">
        <v>45</v>
      </c>
      <c r="C15">
        <v>92</v>
      </c>
      <c r="L15" s="2"/>
      <c r="M15" s="1"/>
      <c r="N15" s="1"/>
      <c r="O15" s="1"/>
      <c r="P15" s="2"/>
      <c r="Q15" s="2"/>
    </row>
    <row r="16" spans="1:17" x14ac:dyDescent="0.3">
      <c r="A16" s="4" t="s">
        <v>46</v>
      </c>
      <c r="C16">
        <v>88</v>
      </c>
      <c r="J16" s="3">
        <v>1328.4</v>
      </c>
      <c r="L16" s="2"/>
      <c r="M16" s="1"/>
      <c r="N16" s="1"/>
      <c r="O16" s="1"/>
      <c r="P16" s="2"/>
      <c r="Q16" s="2"/>
    </row>
    <row r="17" spans="1:17" x14ac:dyDescent="0.3">
      <c r="A17" s="4" t="s">
        <v>47</v>
      </c>
      <c r="C17">
        <v>85</v>
      </c>
      <c r="J17" s="3">
        <v>1293.3</v>
      </c>
      <c r="L17" s="2"/>
      <c r="M17" s="1"/>
      <c r="N17" s="1"/>
      <c r="O17" s="1"/>
      <c r="P17" s="2"/>
      <c r="Q17" s="2"/>
    </row>
    <row r="18" spans="1:17" x14ac:dyDescent="0.3">
      <c r="A18" s="4" t="s">
        <v>48</v>
      </c>
      <c r="C18">
        <v>81</v>
      </c>
      <c r="J18" s="3">
        <v>1328.2</v>
      </c>
      <c r="L18" s="2"/>
      <c r="M18" s="1"/>
      <c r="N18" s="1"/>
      <c r="O18" s="1"/>
      <c r="P18" s="2"/>
      <c r="Q18" s="2"/>
    </row>
    <row r="19" spans="1:17" x14ac:dyDescent="0.3">
      <c r="A19" s="4" t="s">
        <v>4</v>
      </c>
      <c r="B19">
        <v>12</v>
      </c>
      <c r="C19">
        <v>77</v>
      </c>
      <c r="G19" s="2">
        <f>B19+C19</f>
        <v>89</v>
      </c>
      <c r="J19" s="3">
        <v>1329.7</v>
      </c>
      <c r="L19" s="2"/>
      <c r="M19" s="1"/>
      <c r="N19" s="1"/>
      <c r="O19" s="1"/>
      <c r="P19" s="2"/>
      <c r="Q19" s="2"/>
    </row>
    <row r="20" spans="1:17" x14ac:dyDescent="0.3">
      <c r="A20" s="4" t="s">
        <v>49</v>
      </c>
      <c r="C20">
        <v>80</v>
      </c>
      <c r="J20" s="3">
        <v>1303.7</v>
      </c>
      <c r="L20" s="2"/>
      <c r="M20" s="1"/>
      <c r="N20" s="1"/>
      <c r="O20" s="1"/>
      <c r="P20" s="2"/>
      <c r="Q20" s="2"/>
    </row>
    <row r="21" spans="1:17" x14ac:dyDescent="0.3">
      <c r="A21" s="4" t="s">
        <v>50</v>
      </c>
      <c r="C21">
        <v>77</v>
      </c>
      <c r="J21" s="3">
        <v>1337.6</v>
      </c>
      <c r="L21" s="2"/>
      <c r="M21" s="1"/>
      <c r="N21" s="1"/>
      <c r="O21" s="1"/>
      <c r="P21" s="2"/>
      <c r="Q21" s="2"/>
    </row>
    <row r="22" spans="1:17" x14ac:dyDescent="0.3">
      <c r="A22" s="4" t="s">
        <v>5</v>
      </c>
      <c r="B22">
        <v>12</v>
      </c>
      <c r="C22">
        <v>72</v>
      </c>
      <c r="G22" s="2">
        <f>B22+C22</f>
        <v>84</v>
      </c>
      <c r="J22" s="3">
        <v>1334.4</v>
      </c>
      <c r="L22" s="2"/>
      <c r="M22" s="1"/>
      <c r="N22" s="1"/>
      <c r="O22" s="1"/>
      <c r="P22" s="2"/>
      <c r="Q22" s="2"/>
    </row>
    <row r="23" spans="1:17" x14ac:dyDescent="0.3">
      <c r="A23" s="4" t="s">
        <v>6</v>
      </c>
      <c r="B23">
        <v>11</v>
      </c>
      <c r="C23">
        <v>68</v>
      </c>
      <c r="G23" s="2">
        <f>B23+C23</f>
        <v>79</v>
      </c>
      <c r="L23" s="2"/>
      <c r="M23" s="1"/>
      <c r="N23" s="1"/>
      <c r="O23" s="1"/>
      <c r="P23" s="2"/>
      <c r="Q23" s="2"/>
    </row>
    <row r="24" spans="1:17" x14ac:dyDescent="0.3">
      <c r="A24" s="4" t="s">
        <v>7</v>
      </c>
      <c r="B24">
        <v>8</v>
      </c>
      <c r="C24">
        <v>62</v>
      </c>
      <c r="G24" s="2">
        <f>B24+C24</f>
        <v>70</v>
      </c>
      <c r="L24" s="2"/>
      <c r="M24" s="1"/>
      <c r="N24" s="1"/>
      <c r="O24" s="1"/>
      <c r="P24" s="2"/>
      <c r="Q24" s="2"/>
    </row>
    <row r="25" spans="1:17" x14ac:dyDescent="0.3">
      <c r="A25" s="4" t="s">
        <v>8</v>
      </c>
      <c r="B25">
        <v>5</v>
      </c>
      <c r="C25">
        <v>63</v>
      </c>
      <c r="G25" s="2">
        <f>B25+C25</f>
        <v>68</v>
      </c>
      <c r="J25" s="3">
        <v>1324</v>
      </c>
      <c r="L25" s="2"/>
      <c r="M25" s="1"/>
      <c r="N25" s="1"/>
      <c r="O25" s="1"/>
      <c r="P25" s="2"/>
      <c r="Q25" s="2"/>
    </row>
    <row r="26" spans="1:17" x14ac:dyDescent="0.3">
      <c r="A26" s="4" t="s">
        <v>9</v>
      </c>
      <c r="B26">
        <v>5</v>
      </c>
      <c r="J26" s="3">
        <v>1334</v>
      </c>
      <c r="L26" s="2"/>
      <c r="M26" s="1"/>
      <c r="N26" s="1"/>
      <c r="O26" s="1"/>
      <c r="P26" s="2"/>
      <c r="Q26" s="2"/>
    </row>
    <row r="27" spans="1:17" x14ac:dyDescent="0.3">
      <c r="A27" s="4" t="s">
        <v>10</v>
      </c>
      <c r="B27">
        <v>9</v>
      </c>
      <c r="C27">
        <v>65</v>
      </c>
      <c r="G27" s="2">
        <f t="shared" ref="G27:G28" si="0">B27+C27</f>
        <v>74</v>
      </c>
      <c r="L27" s="2"/>
      <c r="M27" s="1"/>
      <c r="N27" s="1"/>
      <c r="O27" s="1"/>
      <c r="P27" s="2"/>
      <c r="Q27" s="2"/>
    </row>
    <row r="28" spans="1:17" x14ac:dyDescent="0.3">
      <c r="A28" s="4" t="s">
        <v>11</v>
      </c>
      <c r="B28">
        <v>9</v>
      </c>
      <c r="C28">
        <v>67</v>
      </c>
      <c r="G28" s="2">
        <f t="shared" si="0"/>
        <v>76</v>
      </c>
      <c r="L28" s="2"/>
      <c r="M28" s="1"/>
      <c r="N28" s="1"/>
      <c r="O28" s="1"/>
      <c r="P28" s="2"/>
      <c r="Q28" s="2"/>
    </row>
    <row r="29" spans="1:17" x14ac:dyDescent="0.3">
      <c r="A29" s="4" t="s">
        <v>12</v>
      </c>
      <c r="B29">
        <v>9</v>
      </c>
      <c r="L29" s="2"/>
      <c r="M29" s="1"/>
      <c r="N29" s="1"/>
      <c r="O29" s="1"/>
      <c r="P29" s="2"/>
      <c r="Q29" s="2"/>
    </row>
    <row r="30" spans="1:17" x14ac:dyDescent="0.3">
      <c r="A30" s="4" t="s">
        <v>13</v>
      </c>
      <c r="B30">
        <v>8</v>
      </c>
      <c r="C30">
        <v>62</v>
      </c>
      <c r="G30" s="2">
        <f t="shared" ref="G30:G45" si="1">B30+C30</f>
        <v>70</v>
      </c>
      <c r="L30" s="2"/>
      <c r="M30" s="1"/>
      <c r="N30" s="1"/>
      <c r="O30" s="1"/>
      <c r="P30" s="2"/>
      <c r="Q30" s="2"/>
    </row>
    <row r="31" spans="1:17" x14ac:dyDescent="0.3">
      <c r="A31" s="4" t="s">
        <v>14</v>
      </c>
      <c r="B31">
        <v>8</v>
      </c>
      <c r="C31">
        <v>62</v>
      </c>
      <c r="G31" s="2">
        <f t="shared" si="1"/>
        <v>70</v>
      </c>
      <c r="L31" s="2"/>
      <c r="M31" s="1"/>
      <c r="N31" s="1"/>
      <c r="O31" s="1"/>
      <c r="P31" s="2"/>
      <c r="Q31" s="2"/>
    </row>
    <row r="32" spans="1:17" x14ac:dyDescent="0.3">
      <c r="A32" s="4" t="s">
        <v>15</v>
      </c>
      <c r="B32">
        <v>9</v>
      </c>
      <c r="C32">
        <v>64</v>
      </c>
      <c r="G32" s="2">
        <f t="shared" si="1"/>
        <v>73</v>
      </c>
      <c r="L32" s="2"/>
      <c r="M32" s="1"/>
      <c r="N32" s="1"/>
      <c r="O32" s="1"/>
      <c r="P32" s="2"/>
      <c r="Q32" s="2"/>
    </row>
    <row r="33" spans="1:17" x14ac:dyDescent="0.3">
      <c r="A33" s="4" t="s">
        <v>16</v>
      </c>
      <c r="B33">
        <v>12</v>
      </c>
      <c r="C33">
        <v>60</v>
      </c>
      <c r="G33" s="2">
        <f t="shared" si="1"/>
        <v>72</v>
      </c>
      <c r="L33" s="2"/>
      <c r="M33" s="1"/>
      <c r="N33" s="1"/>
      <c r="O33" s="1"/>
      <c r="P33" s="2"/>
      <c r="Q33" s="2"/>
    </row>
    <row r="34" spans="1:17" x14ac:dyDescent="0.3">
      <c r="A34" s="4" t="s">
        <v>17</v>
      </c>
      <c r="B34">
        <v>6</v>
      </c>
      <c r="C34">
        <v>59</v>
      </c>
      <c r="G34" s="2">
        <f t="shared" si="1"/>
        <v>65</v>
      </c>
      <c r="J34" s="3">
        <v>1404</v>
      </c>
      <c r="L34" s="2"/>
      <c r="M34" s="1"/>
      <c r="N34" s="1"/>
      <c r="O34" s="1"/>
      <c r="P34" s="2"/>
      <c r="Q34" s="2"/>
    </row>
    <row r="35" spans="1:17" x14ac:dyDescent="0.3">
      <c r="A35" s="4" t="s">
        <v>18</v>
      </c>
      <c r="B35">
        <v>7</v>
      </c>
      <c r="C35">
        <v>57</v>
      </c>
      <c r="G35" s="2">
        <f t="shared" si="1"/>
        <v>64</v>
      </c>
      <c r="J35" s="3">
        <v>1308</v>
      </c>
      <c r="L35" s="2"/>
      <c r="M35" s="1"/>
      <c r="N35" s="1"/>
      <c r="O35" s="1"/>
      <c r="P35" s="2"/>
      <c r="Q35" s="2"/>
    </row>
    <row r="36" spans="1:17" x14ac:dyDescent="0.3">
      <c r="A36" s="4" t="s">
        <v>19</v>
      </c>
      <c r="B36">
        <v>5</v>
      </c>
      <c r="C36">
        <v>58</v>
      </c>
      <c r="G36" s="2">
        <f t="shared" si="1"/>
        <v>63</v>
      </c>
      <c r="J36" s="3">
        <v>1366</v>
      </c>
      <c r="L36" s="2"/>
      <c r="M36" s="1"/>
      <c r="N36" s="1"/>
      <c r="O36" s="1"/>
      <c r="P36" s="2"/>
      <c r="Q36" s="2"/>
    </row>
    <row r="37" spans="1:17" x14ac:dyDescent="0.3">
      <c r="A37" s="4" t="s">
        <v>20</v>
      </c>
      <c r="B37">
        <v>6</v>
      </c>
      <c r="C37">
        <v>56</v>
      </c>
      <c r="G37" s="2">
        <f t="shared" si="1"/>
        <v>62</v>
      </c>
      <c r="J37" s="3">
        <v>1391</v>
      </c>
      <c r="L37" s="2"/>
      <c r="M37" s="1"/>
      <c r="N37" s="1"/>
      <c r="O37" s="1"/>
      <c r="P37" s="2"/>
      <c r="Q37" s="2"/>
    </row>
    <row r="38" spans="1:17" x14ac:dyDescent="0.3">
      <c r="A38" s="4" t="s">
        <v>21</v>
      </c>
      <c r="B38">
        <v>6</v>
      </c>
      <c r="C38">
        <v>55</v>
      </c>
      <c r="G38" s="2">
        <f t="shared" si="1"/>
        <v>61</v>
      </c>
      <c r="L38" s="2"/>
      <c r="M38" s="1"/>
      <c r="N38" s="1"/>
      <c r="O38" s="1"/>
      <c r="P38" s="2"/>
      <c r="Q38" s="2"/>
    </row>
    <row r="39" spans="1:17" x14ac:dyDescent="0.3">
      <c r="A39" s="4" t="s">
        <v>22</v>
      </c>
      <c r="B39">
        <v>5</v>
      </c>
      <c r="C39">
        <v>58</v>
      </c>
      <c r="G39" s="2">
        <f t="shared" si="1"/>
        <v>63</v>
      </c>
      <c r="J39" s="3">
        <v>1368</v>
      </c>
      <c r="L39" s="2"/>
      <c r="M39" s="1"/>
      <c r="N39" s="1"/>
      <c r="O39" s="1"/>
      <c r="P39" s="2"/>
      <c r="Q39" s="2"/>
    </row>
    <row r="40" spans="1:17" x14ac:dyDescent="0.3">
      <c r="A40" s="4" t="s">
        <v>23</v>
      </c>
      <c r="B40">
        <v>5</v>
      </c>
      <c r="C40">
        <v>58</v>
      </c>
      <c r="G40" s="2">
        <f t="shared" si="1"/>
        <v>63</v>
      </c>
      <c r="L40" s="2"/>
      <c r="M40" s="1"/>
      <c r="N40" s="1"/>
      <c r="O40" s="1"/>
      <c r="P40" s="2"/>
      <c r="Q40" s="2"/>
    </row>
    <row r="41" spans="1:17" x14ac:dyDescent="0.3">
      <c r="A41" s="4" t="s">
        <v>24</v>
      </c>
      <c r="B41">
        <v>6</v>
      </c>
      <c r="C41">
        <v>56</v>
      </c>
      <c r="G41" s="2">
        <f t="shared" si="1"/>
        <v>62</v>
      </c>
      <c r="L41" s="2"/>
      <c r="M41" s="1"/>
      <c r="N41" s="1"/>
      <c r="O41" s="1"/>
      <c r="P41" s="2"/>
      <c r="Q41" s="2"/>
    </row>
    <row r="42" spans="1:17" x14ac:dyDescent="0.3">
      <c r="A42" s="4" t="s">
        <v>25</v>
      </c>
      <c r="B42">
        <v>6</v>
      </c>
      <c r="C42">
        <v>56</v>
      </c>
      <c r="G42" s="2">
        <f t="shared" si="1"/>
        <v>62</v>
      </c>
      <c r="L42" s="2"/>
      <c r="M42" s="1"/>
      <c r="N42" s="1"/>
      <c r="O42" s="1"/>
      <c r="P42" s="2"/>
      <c r="Q42" s="2"/>
    </row>
    <row r="43" spans="1:17" x14ac:dyDescent="0.3">
      <c r="A43" s="4" t="s">
        <v>26</v>
      </c>
      <c r="B43">
        <v>3</v>
      </c>
      <c r="C43">
        <v>56</v>
      </c>
      <c r="G43" s="2">
        <f t="shared" si="1"/>
        <v>59</v>
      </c>
      <c r="L43" s="2"/>
      <c r="M43" s="1"/>
      <c r="N43" s="1"/>
      <c r="O43" s="1"/>
      <c r="P43" s="2"/>
      <c r="Q43" s="2"/>
    </row>
    <row r="44" spans="1:17" hidden="1" x14ac:dyDescent="0.3">
      <c r="A44" s="4" t="s">
        <v>27</v>
      </c>
      <c r="B44">
        <v>7</v>
      </c>
      <c r="C44">
        <v>64</v>
      </c>
      <c r="G44" s="2">
        <f t="shared" si="1"/>
        <v>71</v>
      </c>
      <c r="L44" s="2"/>
      <c r="M44" s="1"/>
      <c r="N44" s="1"/>
      <c r="O44" s="1"/>
      <c r="P44" s="2"/>
      <c r="Q44" s="2"/>
    </row>
    <row r="45" spans="1:17" x14ac:dyDescent="0.3">
      <c r="A45" s="4" t="s">
        <v>28</v>
      </c>
      <c r="B45">
        <v>3</v>
      </c>
      <c r="C45">
        <v>57</v>
      </c>
      <c r="G45" s="2">
        <f t="shared" si="1"/>
        <v>60</v>
      </c>
      <c r="J45" s="3">
        <v>1394</v>
      </c>
      <c r="L45" s="2"/>
      <c r="M45" s="1"/>
      <c r="N45" s="1"/>
      <c r="O45" s="1"/>
      <c r="P45" s="2"/>
      <c r="Q45" s="2"/>
    </row>
    <row r="46" spans="1:17" x14ac:dyDescent="0.3">
      <c r="A46" s="4" t="s">
        <v>29</v>
      </c>
      <c r="B46">
        <v>4</v>
      </c>
      <c r="C46">
        <v>57</v>
      </c>
      <c r="G46" s="2">
        <f t="shared" ref="G46:G59" si="2">B46+C46</f>
        <v>61</v>
      </c>
      <c r="L46" s="2"/>
      <c r="M46" s="1"/>
      <c r="N46" s="1"/>
      <c r="O46" s="1"/>
      <c r="P46" s="2"/>
      <c r="Q46" s="2"/>
    </row>
    <row r="47" spans="1:17" x14ac:dyDescent="0.3">
      <c r="A47" s="4" t="s">
        <v>30</v>
      </c>
      <c r="B47">
        <v>10</v>
      </c>
      <c r="C47">
        <v>66</v>
      </c>
      <c r="G47" s="2">
        <f t="shared" si="2"/>
        <v>76</v>
      </c>
      <c r="L47" s="2"/>
      <c r="M47" s="1"/>
      <c r="N47" s="1"/>
      <c r="O47" s="1"/>
      <c r="P47" s="2"/>
      <c r="Q47" s="2"/>
    </row>
    <row r="48" spans="1:17" x14ac:dyDescent="0.3">
      <c r="A48" s="4" t="s">
        <v>61</v>
      </c>
      <c r="B48">
        <v>2</v>
      </c>
      <c r="C48">
        <v>58</v>
      </c>
      <c r="G48" s="2">
        <f t="shared" si="2"/>
        <v>60</v>
      </c>
      <c r="J48" s="3">
        <v>1402</v>
      </c>
    </row>
    <row r="49" spans="1:11" x14ac:dyDescent="0.3">
      <c r="A49" s="4" t="s">
        <v>62</v>
      </c>
      <c r="B49">
        <v>4</v>
      </c>
      <c r="C49">
        <v>58</v>
      </c>
      <c r="G49" s="2">
        <f t="shared" si="2"/>
        <v>62</v>
      </c>
      <c r="J49" s="3">
        <v>1395</v>
      </c>
      <c r="K49" s="3" t="str">
        <f>_xlfn.IFNA(VLOOKUP(CONCATENATE("s.rule",A49,".tar.gz"),Sheet1!A:F,5,0),"")</f>
        <v/>
      </c>
    </row>
    <row r="50" spans="1:11" x14ac:dyDescent="0.3">
      <c r="A50" s="4" t="s">
        <v>63</v>
      </c>
      <c r="B50">
        <v>4</v>
      </c>
      <c r="C50">
        <v>49</v>
      </c>
      <c r="G50" s="2">
        <f t="shared" si="2"/>
        <v>53</v>
      </c>
      <c r="J50" s="3">
        <v>1361</v>
      </c>
      <c r="K50" s="3" t="str">
        <f>_xlfn.IFNA(VLOOKUP(CONCATENATE("s.rule",A50,".tar.gz"),Sheet1!A:F,5,0),"")</f>
        <v/>
      </c>
    </row>
    <row r="51" spans="1:11" x14ac:dyDescent="0.3">
      <c r="A51" s="4" t="s">
        <v>64</v>
      </c>
      <c r="B51">
        <v>4</v>
      </c>
      <c r="C51">
        <v>48</v>
      </c>
      <c r="G51" s="2">
        <f t="shared" si="2"/>
        <v>52</v>
      </c>
    </row>
    <row r="52" spans="1:11" x14ac:dyDescent="0.3">
      <c r="A52" s="4" t="s">
        <v>65</v>
      </c>
      <c r="B52">
        <v>4</v>
      </c>
      <c r="C52">
        <v>48</v>
      </c>
      <c r="G52" s="2">
        <f t="shared" si="2"/>
        <v>52</v>
      </c>
    </row>
    <row r="53" spans="1:11" x14ac:dyDescent="0.3">
      <c r="A53" s="4">
        <v>441</v>
      </c>
      <c r="B53">
        <v>3</v>
      </c>
      <c r="C53">
        <v>55</v>
      </c>
      <c r="G53" s="2">
        <f t="shared" si="2"/>
        <v>58</v>
      </c>
      <c r="K53" s="3" t="str">
        <f>_xlfn.IFNA(VLOOKUP(CONCATENATE("s.rule",A53,".tar.gz"),Sheet1!A:F,5,0),"")</f>
        <v/>
      </c>
    </row>
    <row r="54" spans="1:11" x14ac:dyDescent="0.3">
      <c r="A54" s="4">
        <v>442</v>
      </c>
      <c r="B54">
        <v>3</v>
      </c>
      <c r="C54">
        <v>54</v>
      </c>
      <c r="G54" s="2">
        <f t="shared" si="2"/>
        <v>57</v>
      </c>
    </row>
    <row r="55" spans="1:11" x14ac:dyDescent="0.3">
      <c r="A55" s="4">
        <v>443</v>
      </c>
      <c r="B55">
        <v>3</v>
      </c>
      <c r="C55">
        <v>47</v>
      </c>
      <c r="E55" s="2">
        <v>63</v>
      </c>
      <c r="G55" s="2">
        <f t="shared" si="2"/>
        <v>50</v>
      </c>
      <c r="J55" s="3">
        <v>1371</v>
      </c>
      <c r="K55" s="3" t="str">
        <f>_xlfn.IFNA(VLOOKUP(CONCATENATE("s.rule",A55,".tar.gz"),Sheet1!A:F,5,0),"")</f>
        <v/>
      </c>
    </row>
    <row r="56" spans="1:11" x14ac:dyDescent="0.3">
      <c r="A56" s="4">
        <v>444</v>
      </c>
      <c r="B56">
        <v>3</v>
      </c>
      <c r="C56">
        <v>54</v>
      </c>
      <c r="D56" s="2">
        <v>60</v>
      </c>
      <c r="G56" s="2">
        <f t="shared" si="2"/>
        <v>57</v>
      </c>
      <c r="J56" s="3">
        <v>1363</v>
      </c>
      <c r="K56" s="3" t="str">
        <f>_xlfn.IFNA(VLOOKUP(CONCATENATE("s.rule",A56,".tar.gz"),Sheet1!A:F,5,0),"")</f>
        <v/>
      </c>
    </row>
    <row r="57" spans="1:11" x14ac:dyDescent="0.3">
      <c r="A57" s="4">
        <v>445</v>
      </c>
      <c r="B57">
        <v>6</v>
      </c>
      <c r="C57" s="2">
        <v>54</v>
      </c>
      <c r="D57" s="2">
        <v>60</v>
      </c>
      <c r="G57" s="2">
        <f t="shared" si="2"/>
        <v>60</v>
      </c>
      <c r="J57" s="3">
        <f>(1392+1428)/2</f>
        <v>1410</v>
      </c>
      <c r="K57" s="3" t="str">
        <f>_xlfn.IFNA(VLOOKUP(CONCATENATE("s.rule",A57,".tar.gz"),Sheet1!A:F,5,0),"")</f>
        <v/>
      </c>
    </row>
    <row r="58" spans="1:11" x14ac:dyDescent="0.3">
      <c r="A58" s="4">
        <v>446</v>
      </c>
      <c r="B58">
        <v>6</v>
      </c>
      <c r="C58">
        <v>55</v>
      </c>
      <c r="D58" s="2">
        <v>60</v>
      </c>
      <c r="G58" s="2">
        <f t="shared" si="2"/>
        <v>61</v>
      </c>
      <c r="J58" s="3">
        <v>1425</v>
      </c>
      <c r="K58" s="3" t="str">
        <f>_xlfn.IFNA(VLOOKUP(CONCATENATE("s.rule",A58,".tar.gz"),Sheet1!A:F,5,0),"")</f>
        <v/>
      </c>
    </row>
    <row r="59" spans="1:11" x14ac:dyDescent="0.3">
      <c r="A59" s="4">
        <v>447</v>
      </c>
      <c r="B59">
        <v>10</v>
      </c>
      <c r="C59">
        <v>64</v>
      </c>
      <c r="D59" s="2">
        <v>80</v>
      </c>
      <c r="G59" s="2">
        <f t="shared" si="2"/>
        <v>74</v>
      </c>
      <c r="J59" s="3">
        <v>1386</v>
      </c>
      <c r="K59" s="3" t="str">
        <f>_xlfn.IFNA(VLOOKUP(CONCATENATE("s.rule",A59,".tar.gz"),Sheet1!A:F,5,0),"")</f>
        <v/>
      </c>
    </row>
    <row r="60" spans="1:11" s="2" customFormat="1" x14ac:dyDescent="0.3">
      <c r="A60" s="4" t="s">
        <v>66</v>
      </c>
      <c r="B60" s="2">
        <v>12</v>
      </c>
      <c r="J60" s="3"/>
      <c r="K60" s="3"/>
    </row>
    <row r="61" spans="1:11" x14ac:dyDescent="0.3">
      <c r="A61" s="4">
        <f>A59+1</f>
        <v>448</v>
      </c>
      <c r="B61">
        <v>10</v>
      </c>
      <c r="C61">
        <v>64</v>
      </c>
      <c r="D61" s="2">
        <v>77</v>
      </c>
      <c r="E61" s="2">
        <v>74</v>
      </c>
      <c r="G61" s="2">
        <f>SUM(B61:E61)</f>
        <v>225</v>
      </c>
      <c r="K61" s="3" t="str">
        <f>_xlfn.IFNA(VLOOKUP(CONCATENATE("s.rule",A61,".tar.gz"),Sheet1!A:F,5,0),"")</f>
        <v/>
      </c>
    </row>
    <row r="62" spans="1:11" x14ac:dyDescent="0.3">
      <c r="A62" s="4">
        <f>A61+1</f>
        <v>449</v>
      </c>
      <c r="B62">
        <v>9</v>
      </c>
      <c r="C62">
        <v>57</v>
      </c>
      <c r="D62" s="2">
        <v>64</v>
      </c>
      <c r="E62" s="2">
        <v>61</v>
      </c>
      <c r="G62" s="2">
        <f t="shared" ref="G62:G65" si="3">SUM(B62:E62)</f>
        <v>191</v>
      </c>
      <c r="K62" s="3" t="str">
        <f>_xlfn.IFNA(VLOOKUP(CONCATENATE("s.rule",A62,".tar.gz"),Sheet1!A:F,5,0),"")</f>
        <v/>
      </c>
    </row>
    <row r="63" spans="1:11" x14ac:dyDescent="0.3">
      <c r="A63" s="4">
        <f>A62+1</f>
        <v>450</v>
      </c>
      <c r="B63">
        <v>5</v>
      </c>
      <c r="C63">
        <v>51</v>
      </c>
      <c r="D63" s="2">
        <v>61</v>
      </c>
      <c r="E63" s="2">
        <v>66</v>
      </c>
      <c r="G63" s="2">
        <f t="shared" si="3"/>
        <v>183</v>
      </c>
      <c r="I63" s="7">
        <f>(600-G63-1)/600</f>
        <v>0.69333333333333336</v>
      </c>
      <c r="J63" s="3">
        <v>1387</v>
      </c>
      <c r="K63" s="3" t="str">
        <f>_xlfn.IFNA(VLOOKUP(CONCATENATE("s.rule",A63,".tar.gz"),Sheet1!A:F,5,0),"")</f>
        <v/>
      </c>
    </row>
    <row r="64" spans="1:11" x14ac:dyDescent="0.3">
      <c r="A64" s="4">
        <f>A63+1</f>
        <v>451</v>
      </c>
      <c r="B64">
        <v>4</v>
      </c>
      <c r="C64">
        <v>53</v>
      </c>
      <c r="D64" s="2">
        <v>58</v>
      </c>
      <c r="E64" s="2">
        <v>58</v>
      </c>
      <c r="G64" s="2">
        <f t="shared" si="3"/>
        <v>173</v>
      </c>
      <c r="I64" s="7">
        <f t="shared" ref="I64:I75" si="4">(600-G64-1)/600</f>
        <v>0.71</v>
      </c>
      <c r="J64" s="3">
        <v>1348</v>
      </c>
      <c r="K64" s="3" t="str">
        <f>_xlfn.IFNA(VLOOKUP(CONCATENATE("s.rule",A64,".tar.gz"),Sheet1!A:F,5,0),"")</f>
        <v/>
      </c>
    </row>
    <row r="65" spans="1:12" s="2" customFormat="1" x14ac:dyDescent="0.3">
      <c r="A65" s="4" t="s">
        <v>67</v>
      </c>
      <c r="B65" s="2">
        <v>2</v>
      </c>
      <c r="C65" s="2">
        <v>49</v>
      </c>
      <c r="D65" s="2">
        <v>64</v>
      </c>
      <c r="E65" s="2">
        <v>61</v>
      </c>
      <c r="G65" s="2">
        <f t="shared" si="3"/>
        <v>176</v>
      </c>
      <c r="I65" s="7">
        <f t="shared" si="4"/>
        <v>0.70499999999999996</v>
      </c>
      <c r="J65" s="3">
        <v>1380</v>
      </c>
      <c r="K65" s="3" t="str">
        <f>_xlfn.IFNA(VLOOKUP(CONCATENATE("s.rule",A65,".tar.gz"),Sheet1!A:F,5,0),"")</f>
        <v/>
      </c>
    </row>
    <row r="66" spans="1:12" x14ac:dyDescent="0.3">
      <c r="A66" s="4">
        <f>A64+1</f>
        <v>452</v>
      </c>
      <c r="B66">
        <v>2</v>
      </c>
      <c r="C66">
        <v>51</v>
      </c>
      <c r="E66" s="2">
        <v>54</v>
      </c>
      <c r="I66" s="7"/>
      <c r="J66" s="3">
        <v>1392</v>
      </c>
      <c r="K66" s="3" t="str">
        <f>_xlfn.IFNA(VLOOKUP(CONCATENATE("s.rule",A66,".tar.gz"),Sheet1!A:F,5,0),"")</f>
        <v/>
      </c>
    </row>
    <row r="67" spans="1:12" x14ac:dyDescent="0.3">
      <c r="A67" s="4">
        <f t="shared" ref="A67:A79" si="5">A66+1</f>
        <v>453</v>
      </c>
      <c r="B67">
        <v>1</v>
      </c>
      <c r="C67">
        <v>51</v>
      </c>
      <c r="D67" s="2">
        <v>57</v>
      </c>
      <c r="E67" s="2">
        <v>53</v>
      </c>
      <c r="G67" s="2">
        <f t="shared" ref="G67:G112" si="6">SUM(B67:E67)</f>
        <v>162</v>
      </c>
      <c r="I67" s="7">
        <f t="shared" si="4"/>
        <v>0.72833333333333339</v>
      </c>
      <c r="J67" s="3">
        <f>(1397+1391)/2</f>
        <v>1394</v>
      </c>
      <c r="K67" s="3" t="str">
        <f>_xlfn.IFNA(VLOOKUP(CONCATENATE("s.rule",A67,".tar.gz"),Sheet1!A:F,5,0),"")</f>
        <v/>
      </c>
    </row>
    <row r="68" spans="1:12" x14ac:dyDescent="0.3">
      <c r="A68" s="4">
        <f t="shared" si="5"/>
        <v>454</v>
      </c>
      <c r="B68">
        <v>1</v>
      </c>
      <c r="C68">
        <v>50</v>
      </c>
      <c r="D68" s="2">
        <v>56</v>
      </c>
      <c r="E68" s="2">
        <v>54</v>
      </c>
      <c r="G68" s="2">
        <f t="shared" si="6"/>
        <v>161</v>
      </c>
      <c r="I68" s="7">
        <f t="shared" si="4"/>
        <v>0.73</v>
      </c>
      <c r="J68" s="3">
        <f>(1418+1355)/2</f>
        <v>1386.5</v>
      </c>
      <c r="K68" s="3" t="str">
        <f>_xlfn.IFNA(VLOOKUP(CONCATENATE("s.rule",A68,".tar.gz"),Sheet1!A:F,5,0),"")</f>
        <v/>
      </c>
      <c r="L68" s="2" t="str">
        <f>IF(K68&lt;&gt;"",K68-J68,"")</f>
        <v/>
      </c>
    </row>
    <row r="69" spans="1:12" x14ac:dyDescent="0.3">
      <c r="A69" s="4">
        <f t="shared" si="5"/>
        <v>455</v>
      </c>
      <c r="B69">
        <v>1</v>
      </c>
      <c r="C69">
        <v>54</v>
      </c>
      <c r="D69" s="2">
        <v>60</v>
      </c>
      <c r="E69" s="2">
        <v>54</v>
      </c>
      <c r="G69" s="2">
        <f t="shared" si="6"/>
        <v>169</v>
      </c>
      <c r="I69" s="7">
        <f t="shared" si="4"/>
        <v>0.71666666666666667</v>
      </c>
      <c r="J69" s="3">
        <v>1342.6</v>
      </c>
      <c r="K69" s="3" t="str">
        <f>_xlfn.IFNA(VLOOKUP(CONCATENATE("s.rule",A69,".tar.gz"),Sheet1!A:F,5,0),"")</f>
        <v/>
      </c>
      <c r="L69" s="2" t="str">
        <f t="shared" ref="L69:L133" si="7">IF(K69&lt;&gt;"",K69-J69,"")</f>
        <v/>
      </c>
    </row>
    <row r="70" spans="1:12" x14ac:dyDescent="0.3">
      <c r="A70" s="4">
        <f t="shared" si="5"/>
        <v>456</v>
      </c>
      <c r="B70">
        <v>1</v>
      </c>
      <c r="C70">
        <v>54</v>
      </c>
      <c r="D70" s="2">
        <v>55</v>
      </c>
      <c r="E70" s="2">
        <v>61</v>
      </c>
      <c r="G70" s="2">
        <f t="shared" si="6"/>
        <v>171</v>
      </c>
      <c r="I70" s="7">
        <f t="shared" si="4"/>
        <v>0.71333333333333337</v>
      </c>
      <c r="J70" s="3">
        <v>1381.5</v>
      </c>
      <c r="K70" s="3" t="str">
        <f>_xlfn.IFNA(VLOOKUP(CONCATENATE("s.rule",A70,".tar.gz"),Sheet1!A:F,5,0),"")</f>
        <v/>
      </c>
      <c r="L70" s="2" t="str">
        <f t="shared" si="7"/>
        <v/>
      </c>
    </row>
    <row r="71" spans="1:12" x14ac:dyDescent="0.3">
      <c r="A71" s="4">
        <f t="shared" si="5"/>
        <v>457</v>
      </c>
      <c r="B71">
        <v>1</v>
      </c>
      <c r="C71">
        <v>62</v>
      </c>
      <c r="D71" s="2">
        <v>75</v>
      </c>
      <c r="E71" s="2">
        <v>71</v>
      </c>
      <c r="G71" s="2">
        <f t="shared" si="6"/>
        <v>209</v>
      </c>
      <c r="I71" s="7">
        <f t="shared" si="4"/>
        <v>0.65</v>
      </c>
      <c r="J71" s="3">
        <v>1430</v>
      </c>
      <c r="K71" s="3" t="str">
        <f>_xlfn.IFNA(VLOOKUP(CONCATENATE("s.rule",A71,".tar.gz"),Sheet1!A:F,5,0),"")</f>
        <v/>
      </c>
      <c r="L71" s="2" t="str">
        <f t="shared" si="7"/>
        <v/>
      </c>
    </row>
    <row r="72" spans="1:12" x14ac:dyDescent="0.3">
      <c r="A72" s="4">
        <f t="shared" si="5"/>
        <v>458</v>
      </c>
      <c r="B72">
        <v>1</v>
      </c>
      <c r="C72">
        <v>52</v>
      </c>
      <c r="D72" s="2">
        <v>58</v>
      </c>
      <c r="E72" s="2">
        <v>61</v>
      </c>
      <c r="G72" s="2">
        <f t="shared" si="6"/>
        <v>172</v>
      </c>
      <c r="I72" s="7">
        <f t="shared" si="4"/>
        <v>0.71166666666666667</v>
      </c>
      <c r="J72" s="3">
        <v>1423</v>
      </c>
      <c r="K72" s="3" t="str">
        <f>_xlfn.IFNA(VLOOKUP(CONCATENATE("s.rule",A72,".tar.gz"),Sheet1!A:F,5,0),"")</f>
        <v/>
      </c>
      <c r="L72" s="2" t="str">
        <f t="shared" si="7"/>
        <v/>
      </c>
    </row>
    <row r="73" spans="1:12" x14ac:dyDescent="0.3">
      <c r="A73" s="4">
        <f t="shared" si="5"/>
        <v>459</v>
      </c>
      <c r="B73">
        <v>2</v>
      </c>
      <c r="C73">
        <v>50</v>
      </c>
      <c r="D73" s="2">
        <v>55</v>
      </c>
      <c r="E73" s="2">
        <v>60</v>
      </c>
      <c r="G73" s="2">
        <f t="shared" si="6"/>
        <v>167</v>
      </c>
      <c r="I73" s="7">
        <f t="shared" si="4"/>
        <v>0.72</v>
      </c>
      <c r="J73" s="3">
        <v>1403</v>
      </c>
      <c r="K73" s="3" t="str">
        <f>_xlfn.IFNA(VLOOKUP(CONCATENATE("s.rule",A73,".tar.gz"),Sheet1!A:F,5,0),"")</f>
        <v/>
      </c>
      <c r="L73" s="2" t="str">
        <f t="shared" si="7"/>
        <v/>
      </c>
    </row>
    <row r="74" spans="1:12" x14ac:dyDescent="0.3">
      <c r="A74" s="4">
        <f t="shared" si="5"/>
        <v>460</v>
      </c>
      <c r="B74">
        <v>3</v>
      </c>
      <c r="C74">
        <v>47</v>
      </c>
      <c r="D74" s="2">
        <v>49</v>
      </c>
      <c r="E74" s="2">
        <v>59</v>
      </c>
      <c r="G74" s="2">
        <f t="shared" si="6"/>
        <v>158</v>
      </c>
      <c r="I74" s="7">
        <f t="shared" si="4"/>
        <v>0.73499999999999999</v>
      </c>
      <c r="J74" s="3">
        <v>1376</v>
      </c>
      <c r="K74" s="3" t="str">
        <f>_xlfn.IFNA(VLOOKUP(CONCATENATE("s.rule",A74,".tar.gz"),Sheet1!A:F,5,0),"")</f>
        <v/>
      </c>
      <c r="L74" s="2" t="str">
        <f t="shared" si="7"/>
        <v/>
      </c>
    </row>
    <row r="75" spans="1:12" x14ac:dyDescent="0.3">
      <c r="A75" s="4">
        <f t="shared" si="5"/>
        <v>461</v>
      </c>
      <c r="B75">
        <v>3</v>
      </c>
      <c r="C75">
        <v>47</v>
      </c>
      <c r="D75" s="2">
        <v>49</v>
      </c>
      <c r="E75" s="2">
        <v>59</v>
      </c>
      <c r="G75" s="2">
        <f t="shared" si="6"/>
        <v>158</v>
      </c>
      <c r="I75" s="7">
        <f t="shared" si="4"/>
        <v>0.73499999999999999</v>
      </c>
      <c r="J75" s="3">
        <v>1389.9</v>
      </c>
      <c r="K75" s="3" t="str">
        <f>_xlfn.IFNA(VLOOKUP(CONCATENATE("s.rule",A75,".tar.gz"),Sheet1!A:F,5,0),"")</f>
        <v/>
      </c>
      <c r="L75" s="2" t="str">
        <f t="shared" si="7"/>
        <v/>
      </c>
    </row>
    <row r="76" spans="1:12" x14ac:dyDescent="0.3">
      <c r="A76" s="4">
        <f t="shared" si="5"/>
        <v>462</v>
      </c>
      <c r="B76">
        <v>2</v>
      </c>
      <c r="C76">
        <v>46</v>
      </c>
      <c r="D76" s="2">
        <v>56</v>
      </c>
      <c r="E76" s="2">
        <v>57</v>
      </c>
      <c r="G76" s="2">
        <f t="shared" si="6"/>
        <v>161</v>
      </c>
      <c r="L76" s="2" t="str">
        <f t="shared" si="7"/>
        <v/>
      </c>
    </row>
    <row r="77" spans="1:12" x14ac:dyDescent="0.3">
      <c r="A77" s="4">
        <f t="shared" si="5"/>
        <v>463</v>
      </c>
      <c r="B77">
        <v>1</v>
      </c>
      <c r="C77">
        <v>45</v>
      </c>
      <c r="D77" s="2">
        <v>61</v>
      </c>
      <c r="E77" s="2">
        <v>54</v>
      </c>
      <c r="G77" s="2">
        <f t="shared" si="6"/>
        <v>161</v>
      </c>
      <c r="I77" s="7">
        <f t="shared" ref="I77:I78" si="8">(600-G77-1)/600</f>
        <v>0.73</v>
      </c>
      <c r="J77" s="3">
        <v>1390.1</v>
      </c>
      <c r="K77" s="3" t="str">
        <f>_xlfn.IFNA(VLOOKUP(CONCATENATE("s.rule",A77,".tar.gz"),Sheet1!A:F,5,0),"")</f>
        <v/>
      </c>
      <c r="L77" s="2" t="str">
        <f t="shared" si="7"/>
        <v/>
      </c>
    </row>
    <row r="78" spans="1:12" x14ac:dyDescent="0.3">
      <c r="A78" s="4">
        <f t="shared" si="5"/>
        <v>464</v>
      </c>
      <c r="B78">
        <v>6</v>
      </c>
      <c r="C78">
        <v>55</v>
      </c>
      <c r="D78" s="2">
        <v>55</v>
      </c>
      <c r="E78" s="2">
        <v>60</v>
      </c>
      <c r="G78" s="2">
        <f t="shared" si="6"/>
        <v>176</v>
      </c>
      <c r="I78" s="7">
        <f t="shared" si="8"/>
        <v>0.70499999999999996</v>
      </c>
      <c r="J78" s="3">
        <v>1393.6</v>
      </c>
      <c r="K78" s="3" t="str">
        <f>_xlfn.IFNA(VLOOKUP(CONCATENATE("s.rule",A78,".tar.gz"),Sheet1!A:F,5,0),"")</f>
        <v/>
      </c>
      <c r="L78" s="2" t="str">
        <f t="shared" si="7"/>
        <v/>
      </c>
    </row>
    <row r="79" spans="1:12" x14ac:dyDescent="0.3">
      <c r="A79" s="4">
        <f t="shared" si="5"/>
        <v>465</v>
      </c>
      <c r="B79">
        <v>5</v>
      </c>
      <c r="C79">
        <v>54</v>
      </c>
      <c r="D79" s="2">
        <v>58</v>
      </c>
      <c r="E79" s="2">
        <v>61</v>
      </c>
      <c r="G79" s="2">
        <f t="shared" si="6"/>
        <v>178</v>
      </c>
      <c r="L79" s="2" t="str">
        <f t="shared" si="7"/>
        <v/>
      </c>
    </row>
    <row r="80" spans="1:12" x14ac:dyDescent="0.3">
      <c r="A80" s="4" t="s">
        <v>70</v>
      </c>
      <c r="B80">
        <v>2</v>
      </c>
      <c r="C80">
        <v>48</v>
      </c>
      <c r="D80" s="2">
        <v>60</v>
      </c>
      <c r="E80" s="2">
        <v>58</v>
      </c>
      <c r="G80" s="2">
        <f t="shared" si="6"/>
        <v>168</v>
      </c>
      <c r="L80" s="2" t="str">
        <f t="shared" si="7"/>
        <v/>
      </c>
    </row>
    <row r="81" spans="1:12" x14ac:dyDescent="0.3">
      <c r="A81" s="4">
        <v>466</v>
      </c>
      <c r="B81">
        <v>3</v>
      </c>
      <c r="C81">
        <v>54</v>
      </c>
      <c r="D81" s="2">
        <v>51</v>
      </c>
      <c r="E81" s="2">
        <v>58</v>
      </c>
      <c r="G81" s="2">
        <f t="shared" si="6"/>
        <v>166</v>
      </c>
      <c r="I81" s="7">
        <f t="shared" ref="I81:I83" si="9">(600-G81-1)/600</f>
        <v>0.72166666666666668</v>
      </c>
      <c r="J81" s="3">
        <v>1377.2</v>
      </c>
      <c r="K81" s="3" t="str">
        <f>_xlfn.IFNA(VLOOKUP(CONCATENATE("s.rule",A81,".tar.gz"),Sheet1!A:F,5,0),"")</f>
        <v/>
      </c>
      <c r="L81" s="2" t="str">
        <f t="shared" si="7"/>
        <v/>
      </c>
    </row>
    <row r="82" spans="1:12" s="2" customFormat="1" x14ac:dyDescent="0.3">
      <c r="A82" s="4" t="s">
        <v>72</v>
      </c>
      <c r="B82" s="2">
        <v>4</v>
      </c>
      <c r="C82" s="2">
        <v>45</v>
      </c>
      <c r="D82" s="2">
        <v>53</v>
      </c>
      <c r="E82" s="2">
        <v>55</v>
      </c>
      <c r="G82" s="2">
        <f t="shared" si="6"/>
        <v>157</v>
      </c>
      <c r="I82" s="7">
        <f t="shared" si="9"/>
        <v>0.73666666666666669</v>
      </c>
      <c r="J82" s="3">
        <v>1380.4</v>
      </c>
      <c r="K82" s="3" t="str">
        <f>_xlfn.IFNA(VLOOKUP(CONCATENATE("s.rule",A82,".tar.gz"),Sheet1!A:F,5,0),"")</f>
        <v/>
      </c>
      <c r="L82" s="2" t="str">
        <f t="shared" si="7"/>
        <v/>
      </c>
    </row>
    <row r="83" spans="1:12" x14ac:dyDescent="0.3">
      <c r="A83" s="4">
        <v>467</v>
      </c>
      <c r="B83">
        <v>3</v>
      </c>
      <c r="C83">
        <v>49</v>
      </c>
      <c r="D83" s="2">
        <v>53</v>
      </c>
      <c r="E83" s="2">
        <v>62</v>
      </c>
      <c r="G83" s="2">
        <f t="shared" si="6"/>
        <v>167</v>
      </c>
      <c r="I83" s="7">
        <f t="shared" si="9"/>
        <v>0.72</v>
      </c>
      <c r="J83" s="3">
        <v>1367.4</v>
      </c>
      <c r="K83" s="3" t="str">
        <f>_xlfn.IFNA(VLOOKUP(CONCATENATE("s.rule",A83,".tar.gz"),Sheet1!A:F,5,0),"")</f>
        <v/>
      </c>
      <c r="L83" s="2" t="str">
        <f t="shared" si="7"/>
        <v/>
      </c>
    </row>
    <row r="84" spans="1:12" x14ac:dyDescent="0.3">
      <c r="A84" s="4" t="s">
        <v>73</v>
      </c>
      <c r="B84">
        <v>5</v>
      </c>
      <c r="C84">
        <v>47</v>
      </c>
      <c r="D84" s="2">
        <v>53</v>
      </c>
      <c r="E84" s="2">
        <v>56</v>
      </c>
      <c r="G84" s="2">
        <f t="shared" si="6"/>
        <v>161</v>
      </c>
      <c r="L84" s="2" t="str">
        <f t="shared" si="7"/>
        <v/>
      </c>
    </row>
    <row r="85" spans="1:12" x14ac:dyDescent="0.3">
      <c r="A85" s="4">
        <v>468</v>
      </c>
      <c r="B85">
        <v>2</v>
      </c>
      <c r="C85">
        <v>46</v>
      </c>
      <c r="D85" s="2">
        <v>54</v>
      </c>
      <c r="E85" s="2">
        <v>61</v>
      </c>
      <c r="G85" s="2">
        <f t="shared" si="6"/>
        <v>163</v>
      </c>
      <c r="I85" s="7">
        <f>(600-G85-1)/600</f>
        <v>0.72666666666666668</v>
      </c>
      <c r="J85" s="3">
        <v>1354.5</v>
      </c>
      <c r="K85" s="3" t="str">
        <f>_xlfn.IFNA(VLOOKUP(CONCATENATE("s.rule",A85,".tar.gz"),Sheet1!A:F,5,0),"")</f>
        <v/>
      </c>
      <c r="L85" s="2" t="str">
        <f t="shared" si="7"/>
        <v/>
      </c>
    </row>
    <row r="86" spans="1:12" x14ac:dyDescent="0.3">
      <c r="A86" s="4">
        <v>469</v>
      </c>
      <c r="B86">
        <v>2</v>
      </c>
      <c r="C86">
        <v>48</v>
      </c>
      <c r="D86" s="2">
        <v>55</v>
      </c>
      <c r="E86" s="2">
        <v>58</v>
      </c>
      <c r="G86" s="2">
        <f t="shared" si="6"/>
        <v>163</v>
      </c>
      <c r="L86" s="2" t="str">
        <f t="shared" si="7"/>
        <v/>
      </c>
    </row>
    <row r="87" spans="1:12" x14ac:dyDescent="0.3">
      <c r="A87" s="4">
        <v>470</v>
      </c>
      <c r="B87">
        <v>2</v>
      </c>
      <c r="C87">
        <v>48</v>
      </c>
      <c r="D87" s="2">
        <v>54</v>
      </c>
      <c r="E87" s="2">
        <v>56</v>
      </c>
      <c r="G87" s="2">
        <f t="shared" si="6"/>
        <v>160</v>
      </c>
      <c r="I87" s="7">
        <f t="shared" ref="I87:I92" si="10">(600-G87-1)/600</f>
        <v>0.73166666666666669</v>
      </c>
      <c r="J87" s="3">
        <v>1393.2</v>
      </c>
      <c r="K87" s="3" t="str">
        <f>_xlfn.IFNA(VLOOKUP(CONCATENATE("s.rule",A87,".tar.gz"),Sheet1!A:F,5,0),"")</f>
        <v/>
      </c>
      <c r="L87" s="2" t="str">
        <f t="shared" si="7"/>
        <v/>
      </c>
    </row>
    <row r="88" spans="1:12" x14ac:dyDescent="0.3">
      <c r="A88" s="4">
        <v>471</v>
      </c>
      <c r="B88">
        <v>5</v>
      </c>
      <c r="C88">
        <v>48</v>
      </c>
      <c r="D88" s="2">
        <v>51</v>
      </c>
      <c r="E88" s="2">
        <v>54</v>
      </c>
      <c r="G88" s="2">
        <f t="shared" si="6"/>
        <v>158</v>
      </c>
      <c r="I88" s="7">
        <f t="shared" si="10"/>
        <v>0.73499999999999999</v>
      </c>
      <c r="J88" s="3">
        <v>1381.1</v>
      </c>
      <c r="K88" s="3" t="str">
        <f>_xlfn.IFNA(VLOOKUP(CONCATENATE("s.rule",A88,".tar.gz"),Sheet1!A:F,5,0),"")</f>
        <v/>
      </c>
      <c r="L88" s="2" t="str">
        <f t="shared" si="7"/>
        <v/>
      </c>
    </row>
    <row r="89" spans="1:12" x14ac:dyDescent="0.3">
      <c r="A89" s="4">
        <f t="shared" ref="A89:A90" si="11">A88+1</f>
        <v>472</v>
      </c>
      <c r="B89">
        <v>5</v>
      </c>
      <c r="C89">
        <v>50</v>
      </c>
      <c r="D89" s="2">
        <v>53</v>
      </c>
      <c r="E89" s="2">
        <v>56</v>
      </c>
      <c r="G89" s="2">
        <f t="shared" si="6"/>
        <v>164</v>
      </c>
      <c r="I89" s="7">
        <f t="shared" si="10"/>
        <v>0.72499999999999998</v>
      </c>
      <c r="J89" s="3">
        <v>1408.5</v>
      </c>
      <c r="K89" s="3" t="str">
        <f>_xlfn.IFNA(VLOOKUP(CONCATENATE("s.rule",A89,".tar.gz"),Sheet1!A:F,5,0),"")</f>
        <v/>
      </c>
      <c r="L89" s="2" t="str">
        <f t="shared" si="7"/>
        <v/>
      </c>
    </row>
    <row r="90" spans="1:12" x14ac:dyDescent="0.3">
      <c r="A90" s="4">
        <f t="shared" si="11"/>
        <v>473</v>
      </c>
      <c r="B90">
        <v>5</v>
      </c>
      <c r="C90">
        <v>50</v>
      </c>
      <c r="D90" s="2">
        <v>53</v>
      </c>
      <c r="E90" s="2">
        <v>55</v>
      </c>
      <c r="G90" s="2">
        <f>SUM(B90:E90)</f>
        <v>163</v>
      </c>
      <c r="I90" s="7">
        <f t="shared" si="10"/>
        <v>0.72666666666666668</v>
      </c>
      <c r="J90" s="3">
        <v>1443.2</v>
      </c>
      <c r="K90" s="3" t="str">
        <f>_xlfn.IFNA(VLOOKUP(CONCATENATE("s.rule",A90,".tar.gz"),Sheet1!A:F,5,0),"")</f>
        <v/>
      </c>
      <c r="L90" s="2" t="str">
        <f t="shared" si="7"/>
        <v/>
      </c>
    </row>
    <row r="91" spans="1:12" x14ac:dyDescent="0.3">
      <c r="A91" s="4">
        <v>474</v>
      </c>
      <c r="B91">
        <v>6</v>
      </c>
      <c r="C91">
        <v>48</v>
      </c>
      <c r="D91" s="2">
        <v>51</v>
      </c>
      <c r="E91" s="2">
        <v>53</v>
      </c>
      <c r="G91" s="2">
        <f>SUM(B91:E91)</f>
        <v>158</v>
      </c>
      <c r="I91" s="7">
        <f t="shared" si="10"/>
        <v>0.73499999999999999</v>
      </c>
      <c r="J91" s="3">
        <v>1356.2</v>
      </c>
      <c r="K91" s="3" t="str">
        <f>_xlfn.IFNA(VLOOKUP(CONCATENATE("s.rule",A91,".tar.gz"),Sheet1!A:F,5,0),"")</f>
        <v/>
      </c>
      <c r="L91" s="2" t="str">
        <f t="shared" si="7"/>
        <v/>
      </c>
    </row>
    <row r="92" spans="1:12" x14ac:dyDescent="0.3">
      <c r="A92" s="4">
        <v>475</v>
      </c>
      <c r="B92">
        <v>7</v>
      </c>
      <c r="C92">
        <v>46</v>
      </c>
      <c r="D92" s="2">
        <v>57</v>
      </c>
      <c r="E92" s="2">
        <v>52</v>
      </c>
      <c r="G92" s="2">
        <f t="shared" si="6"/>
        <v>162</v>
      </c>
      <c r="I92" s="7">
        <f t="shared" si="10"/>
        <v>0.72833333333333339</v>
      </c>
      <c r="J92" s="3">
        <v>1409.2</v>
      </c>
      <c r="K92" s="3" t="str">
        <f>_xlfn.IFNA(VLOOKUP(CONCATENATE("s.rule",A92,".tar.gz"),Sheet1!A:F,5,0),"")</f>
        <v/>
      </c>
      <c r="L92" s="2" t="str">
        <f t="shared" si="7"/>
        <v/>
      </c>
    </row>
    <row r="93" spans="1:12" x14ac:dyDescent="0.3">
      <c r="A93" s="4">
        <v>476</v>
      </c>
      <c r="B93">
        <v>5</v>
      </c>
      <c r="C93">
        <v>48</v>
      </c>
      <c r="D93" s="2">
        <v>59</v>
      </c>
      <c r="E93" s="2">
        <v>67</v>
      </c>
      <c r="G93" s="2">
        <f t="shared" si="6"/>
        <v>179</v>
      </c>
      <c r="L93" s="2" t="str">
        <f t="shared" si="7"/>
        <v/>
      </c>
    </row>
    <row r="94" spans="1:12" x14ac:dyDescent="0.3">
      <c r="A94" s="4">
        <v>477</v>
      </c>
      <c r="B94">
        <v>5</v>
      </c>
      <c r="C94">
        <v>44</v>
      </c>
      <c r="D94" s="2">
        <v>55</v>
      </c>
      <c r="E94" s="2">
        <v>65</v>
      </c>
      <c r="G94" s="2">
        <f t="shared" si="6"/>
        <v>169</v>
      </c>
      <c r="I94" s="7">
        <f t="shared" ref="I94:I97" si="12">(600-G94-1)/600</f>
        <v>0.71666666666666667</v>
      </c>
      <c r="J94" s="3">
        <v>1394.7</v>
      </c>
      <c r="K94" s="3" t="str">
        <f>_xlfn.IFNA(VLOOKUP(CONCATENATE("s.rule",A94,".tar.gz"),Sheet1!A:F,5,0),"")</f>
        <v/>
      </c>
      <c r="L94" s="2" t="str">
        <f t="shared" si="7"/>
        <v/>
      </c>
    </row>
    <row r="95" spans="1:12" x14ac:dyDescent="0.3">
      <c r="A95" s="4">
        <v>478</v>
      </c>
      <c r="B95">
        <v>5</v>
      </c>
      <c r="C95">
        <v>47</v>
      </c>
      <c r="D95" s="2">
        <v>54</v>
      </c>
      <c r="E95" s="2">
        <v>58</v>
      </c>
      <c r="G95" s="2">
        <f t="shared" si="6"/>
        <v>164</v>
      </c>
      <c r="I95" s="7">
        <f t="shared" si="12"/>
        <v>0.72499999999999998</v>
      </c>
      <c r="J95" s="3">
        <v>1402.6</v>
      </c>
      <c r="K95" s="3" t="str">
        <f>_xlfn.IFNA(VLOOKUP(CONCATENATE("s.rule",A95,".tar.gz"),Sheet1!A:F,5,0),"")</f>
        <v/>
      </c>
      <c r="L95" s="2" t="str">
        <f t="shared" si="7"/>
        <v/>
      </c>
    </row>
    <row r="96" spans="1:12" x14ac:dyDescent="0.3">
      <c r="A96" s="4">
        <v>479</v>
      </c>
      <c r="B96">
        <v>4</v>
      </c>
      <c r="C96">
        <v>47</v>
      </c>
      <c r="D96" s="2">
        <v>54</v>
      </c>
      <c r="E96" s="2">
        <v>58</v>
      </c>
      <c r="G96" s="2">
        <f t="shared" si="6"/>
        <v>163</v>
      </c>
      <c r="I96" s="7">
        <f t="shared" si="12"/>
        <v>0.72666666666666668</v>
      </c>
      <c r="J96" s="3">
        <v>1406.1</v>
      </c>
      <c r="K96" s="3" t="str">
        <f>_xlfn.IFNA(VLOOKUP(CONCATENATE("s.rule",A96,".tar.gz"),Sheet1!A:F,5,0),"")</f>
        <v/>
      </c>
      <c r="L96" s="2" t="str">
        <f t="shared" si="7"/>
        <v/>
      </c>
    </row>
    <row r="97" spans="1:12" x14ac:dyDescent="0.3">
      <c r="A97" s="4">
        <v>480</v>
      </c>
      <c r="B97">
        <v>4</v>
      </c>
      <c r="C97">
        <v>50</v>
      </c>
      <c r="D97" s="2">
        <v>50</v>
      </c>
      <c r="E97" s="2">
        <v>56</v>
      </c>
      <c r="G97" s="2">
        <f t="shared" si="6"/>
        <v>160</v>
      </c>
      <c r="I97" s="7">
        <f t="shared" si="12"/>
        <v>0.73166666666666669</v>
      </c>
      <c r="J97" s="3">
        <v>1387.1</v>
      </c>
      <c r="K97" s="3" t="str">
        <f>_xlfn.IFNA(VLOOKUP(CONCATENATE("s.rule",A97,".tar.gz"),Sheet1!A:F,5,0),"")</f>
        <v/>
      </c>
      <c r="L97" s="2" t="str">
        <f t="shared" si="7"/>
        <v/>
      </c>
    </row>
    <row r="98" spans="1:12" x14ac:dyDescent="0.3">
      <c r="A98" s="4">
        <v>481</v>
      </c>
      <c r="B98">
        <v>3</v>
      </c>
      <c r="C98">
        <v>49</v>
      </c>
      <c r="D98" s="2">
        <v>51</v>
      </c>
      <c r="E98" s="2">
        <v>54</v>
      </c>
      <c r="G98" s="2">
        <f t="shared" si="6"/>
        <v>157</v>
      </c>
      <c r="L98" s="2" t="str">
        <f t="shared" si="7"/>
        <v/>
      </c>
    </row>
    <row r="99" spans="1:12" x14ac:dyDescent="0.3">
      <c r="A99" s="4">
        <v>482</v>
      </c>
      <c r="B99">
        <v>4</v>
      </c>
      <c r="C99">
        <v>55</v>
      </c>
      <c r="D99" s="2">
        <v>52</v>
      </c>
      <c r="E99" s="2">
        <v>53</v>
      </c>
      <c r="G99" s="2">
        <f t="shared" si="6"/>
        <v>164</v>
      </c>
      <c r="I99" s="7">
        <f t="shared" ref="I99:I101" si="13">(600-G99-1)/600</f>
        <v>0.72499999999999998</v>
      </c>
      <c r="J99" s="3">
        <v>1362.5</v>
      </c>
      <c r="K99" s="3" t="str">
        <f>_xlfn.IFNA(VLOOKUP(CONCATENATE("s.rule",A99,".tar.gz"),Sheet1!A:F,5,0),"")</f>
        <v/>
      </c>
      <c r="L99" s="2" t="str">
        <f t="shared" si="7"/>
        <v/>
      </c>
    </row>
    <row r="100" spans="1:12" x14ac:dyDescent="0.3">
      <c r="A100" s="4">
        <v>483</v>
      </c>
      <c r="B100">
        <v>3</v>
      </c>
      <c r="C100">
        <v>44</v>
      </c>
      <c r="D100" s="2">
        <v>58</v>
      </c>
      <c r="E100" s="2">
        <v>54</v>
      </c>
      <c r="G100" s="2">
        <f t="shared" si="6"/>
        <v>159</v>
      </c>
      <c r="I100" s="7">
        <f t="shared" si="13"/>
        <v>0.73333333333333328</v>
      </c>
      <c r="J100" s="3">
        <v>1429.3</v>
      </c>
      <c r="K100" s="3" t="str">
        <f>_xlfn.IFNA(VLOOKUP(CONCATENATE("s.rule",A100,".tar.gz"),Sheet1!A:F,5,0),"")</f>
        <v/>
      </c>
      <c r="L100" s="2" t="str">
        <f t="shared" si="7"/>
        <v/>
      </c>
    </row>
    <row r="101" spans="1:12" x14ac:dyDescent="0.3">
      <c r="A101" s="4">
        <v>484</v>
      </c>
      <c r="B101">
        <v>3</v>
      </c>
      <c r="C101">
        <v>40</v>
      </c>
      <c r="D101" s="2">
        <v>50</v>
      </c>
      <c r="E101" s="2">
        <v>52</v>
      </c>
      <c r="G101" s="2">
        <f t="shared" si="6"/>
        <v>145</v>
      </c>
      <c r="I101" s="7">
        <f t="shared" si="13"/>
        <v>0.75666666666666671</v>
      </c>
      <c r="J101" s="3">
        <v>1428.9</v>
      </c>
      <c r="K101" s="3">
        <f>_xlfn.IFNA(VLOOKUP(CONCATENATE("s.rule",A101,".tar.gz"),Sheet1!A:F,5,0),"")</f>
        <v>1466</v>
      </c>
      <c r="L101" s="2">
        <f t="shared" si="7"/>
        <v>37.099999999999909</v>
      </c>
    </row>
    <row r="102" spans="1:12" x14ac:dyDescent="0.3">
      <c r="A102" s="4">
        <v>485</v>
      </c>
      <c r="B102">
        <v>3</v>
      </c>
      <c r="C102">
        <v>40</v>
      </c>
      <c r="D102" s="2">
        <v>50</v>
      </c>
      <c r="E102" s="2">
        <v>56</v>
      </c>
      <c r="G102" s="2">
        <f t="shared" si="6"/>
        <v>149</v>
      </c>
      <c r="L102" s="2" t="str">
        <f t="shared" si="7"/>
        <v/>
      </c>
    </row>
    <row r="103" spans="1:12" x14ac:dyDescent="0.3">
      <c r="A103" s="4">
        <v>486</v>
      </c>
      <c r="B103">
        <v>3</v>
      </c>
      <c r="C103">
        <v>41</v>
      </c>
      <c r="D103" s="2">
        <v>49</v>
      </c>
      <c r="E103" s="2">
        <v>60</v>
      </c>
      <c r="G103" s="2">
        <f t="shared" si="6"/>
        <v>153</v>
      </c>
      <c r="L103" s="2" t="str">
        <f t="shared" si="7"/>
        <v/>
      </c>
    </row>
    <row r="104" spans="1:12" x14ac:dyDescent="0.3">
      <c r="A104" s="4">
        <v>487</v>
      </c>
      <c r="B104">
        <v>3</v>
      </c>
      <c r="C104">
        <v>46</v>
      </c>
      <c r="D104" s="2">
        <v>49</v>
      </c>
      <c r="E104" s="2">
        <v>61</v>
      </c>
      <c r="G104" s="2">
        <f t="shared" si="6"/>
        <v>159</v>
      </c>
      <c r="I104" s="7">
        <f t="shared" ref="I104:I105" si="14">(600-G104-1)/600</f>
        <v>0.73333333333333328</v>
      </c>
      <c r="J104" s="3">
        <v>1405.7</v>
      </c>
      <c r="K104" s="3" t="str">
        <f>_xlfn.IFNA(VLOOKUP(CONCATENATE("s.rule",A104,".tar.gz"),Sheet1!A:F,5,0),"")</f>
        <v/>
      </c>
      <c r="L104" s="2" t="str">
        <f t="shared" si="7"/>
        <v/>
      </c>
    </row>
    <row r="105" spans="1:12" x14ac:dyDescent="0.3">
      <c r="A105" s="4">
        <v>488</v>
      </c>
      <c r="B105">
        <v>2</v>
      </c>
      <c r="C105">
        <v>41</v>
      </c>
      <c r="D105" s="2">
        <v>51</v>
      </c>
      <c r="E105" s="2">
        <v>58</v>
      </c>
      <c r="G105" s="2">
        <f t="shared" si="6"/>
        <v>152</v>
      </c>
      <c r="I105" s="7">
        <f t="shared" si="14"/>
        <v>0.745</v>
      </c>
      <c r="J105" s="3">
        <v>1399.8</v>
      </c>
      <c r="K105" s="3" t="str">
        <f>_xlfn.IFNA(VLOOKUP(CONCATENATE("s.rule",A105,".tar.gz"),Sheet1!A:F,5,0),"")</f>
        <v/>
      </c>
      <c r="L105" s="2" t="str">
        <f t="shared" si="7"/>
        <v/>
      </c>
    </row>
    <row r="106" spans="1:12" s="2" customFormat="1" x14ac:dyDescent="0.3">
      <c r="A106" s="4" t="s">
        <v>75</v>
      </c>
      <c r="B106" s="2">
        <v>3</v>
      </c>
      <c r="C106" s="2">
        <v>43</v>
      </c>
      <c r="D106" s="2">
        <v>54</v>
      </c>
      <c r="E106" s="2">
        <v>58</v>
      </c>
      <c r="G106" s="2">
        <f t="shared" si="6"/>
        <v>158</v>
      </c>
      <c r="J106" s="3"/>
      <c r="K106" s="3"/>
      <c r="L106" s="2" t="str">
        <f t="shared" si="7"/>
        <v/>
      </c>
    </row>
    <row r="107" spans="1:12" x14ac:dyDescent="0.3">
      <c r="A107" s="4" t="s">
        <v>76</v>
      </c>
      <c r="B107">
        <v>2</v>
      </c>
      <c r="C107">
        <v>41</v>
      </c>
      <c r="D107" s="2">
        <v>52</v>
      </c>
      <c r="E107" s="2">
        <v>60</v>
      </c>
      <c r="G107" s="2">
        <f t="shared" si="6"/>
        <v>155</v>
      </c>
      <c r="L107" s="2" t="str">
        <f t="shared" si="7"/>
        <v/>
      </c>
    </row>
    <row r="108" spans="1:12" x14ac:dyDescent="0.3">
      <c r="A108" s="4" t="s">
        <v>74</v>
      </c>
      <c r="B108">
        <v>2</v>
      </c>
      <c r="C108">
        <v>52</v>
      </c>
      <c r="D108" s="2">
        <v>48</v>
      </c>
      <c r="E108" s="2">
        <v>57</v>
      </c>
      <c r="G108" s="2">
        <f t="shared" si="6"/>
        <v>159</v>
      </c>
      <c r="I108" s="7">
        <f>(600-G108-1)/600</f>
        <v>0.73333333333333328</v>
      </c>
      <c r="J108" s="3">
        <v>1400.1</v>
      </c>
      <c r="K108" s="3" t="str">
        <f>_xlfn.IFNA(VLOOKUP(CONCATENATE("s.rule",A108,".tar.gz"),Sheet1!A:F,5,0),"")</f>
        <v/>
      </c>
      <c r="L108" s="2" t="str">
        <f t="shared" si="7"/>
        <v/>
      </c>
    </row>
    <row r="109" spans="1:12" x14ac:dyDescent="0.3">
      <c r="A109" s="4" t="s">
        <v>77</v>
      </c>
      <c r="B109">
        <v>4</v>
      </c>
      <c r="C109">
        <v>43</v>
      </c>
      <c r="D109" s="2">
        <v>55</v>
      </c>
      <c r="E109" s="2">
        <v>59</v>
      </c>
      <c r="G109" s="2">
        <f t="shared" si="6"/>
        <v>161</v>
      </c>
      <c r="L109" s="2" t="str">
        <f t="shared" si="7"/>
        <v/>
      </c>
    </row>
    <row r="110" spans="1:12" x14ac:dyDescent="0.3">
      <c r="A110" s="4">
        <v>489</v>
      </c>
      <c r="B110">
        <v>2</v>
      </c>
      <c r="C110">
        <v>44</v>
      </c>
      <c r="D110" s="2">
        <v>53</v>
      </c>
      <c r="E110" s="2">
        <v>60</v>
      </c>
      <c r="G110" s="2">
        <f t="shared" si="6"/>
        <v>159</v>
      </c>
      <c r="I110" s="7">
        <f t="shared" ref="I110:I115" si="15">(600-G110-1)/600</f>
        <v>0.73333333333333328</v>
      </c>
      <c r="J110" s="3">
        <v>1352.6</v>
      </c>
      <c r="K110" s="3">
        <f>_xlfn.IFNA(VLOOKUP(CONCATENATE("s.rule",A110,".tar.gz"),Sheet1!A:F,5,0),"")</f>
        <v>1373.6</v>
      </c>
      <c r="L110" s="2">
        <f t="shared" si="7"/>
        <v>21</v>
      </c>
    </row>
    <row r="111" spans="1:12" x14ac:dyDescent="0.3">
      <c r="A111" s="4">
        <v>490</v>
      </c>
      <c r="B111" s="2">
        <v>4</v>
      </c>
      <c r="C111">
        <v>47</v>
      </c>
      <c r="D111" s="2">
        <v>52</v>
      </c>
      <c r="E111" s="2">
        <v>58</v>
      </c>
      <c r="G111" s="2">
        <f t="shared" si="6"/>
        <v>161</v>
      </c>
      <c r="I111" s="7">
        <f t="shared" si="15"/>
        <v>0.73</v>
      </c>
      <c r="J111" s="3">
        <v>1346.4</v>
      </c>
      <c r="K111" s="3">
        <f>_xlfn.IFNA(VLOOKUP(CONCATENATE("s.rule",A111,".tar.gz"),Sheet1!A:F,5,0),"")</f>
        <v>1359.7</v>
      </c>
      <c r="L111" s="2">
        <f t="shared" si="7"/>
        <v>13.299999999999955</v>
      </c>
    </row>
    <row r="112" spans="1:12" x14ac:dyDescent="0.3">
      <c r="A112" s="4">
        <v>491</v>
      </c>
      <c r="B112" s="2">
        <v>2</v>
      </c>
      <c r="C112">
        <v>39</v>
      </c>
      <c r="D112" s="2">
        <v>41</v>
      </c>
      <c r="E112" s="2">
        <v>49</v>
      </c>
      <c r="G112" s="2">
        <f t="shared" si="6"/>
        <v>131</v>
      </c>
      <c r="I112" s="7">
        <f t="shared" si="15"/>
        <v>0.78</v>
      </c>
      <c r="J112" s="3">
        <v>1403.7</v>
      </c>
      <c r="K112" s="3">
        <f>_xlfn.IFNA(VLOOKUP(CONCATENATE("s.rule",A112,".tar.gz"),Sheet1!A:F,5,0),"")</f>
        <v>1410.5</v>
      </c>
      <c r="L112" s="2">
        <f t="shared" si="7"/>
        <v>6.7999999999999545</v>
      </c>
    </row>
    <row r="113" spans="1:12" x14ac:dyDescent="0.3">
      <c r="A113" s="4">
        <v>492</v>
      </c>
      <c r="B113">
        <v>2</v>
      </c>
      <c r="C113">
        <v>38</v>
      </c>
      <c r="D113" s="2">
        <v>47</v>
      </c>
      <c r="E113" s="2">
        <v>54</v>
      </c>
      <c r="G113" s="2">
        <f t="shared" ref="G113:G138" si="16">SUM(B113:E113)</f>
        <v>141</v>
      </c>
      <c r="I113" s="7">
        <f t="shared" si="15"/>
        <v>0.76333333333333331</v>
      </c>
      <c r="J113" s="3">
        <v>1424.2</v>
      </c>
      <c r="K113" s="3">
        <f>_xlfn.IFNA(VLOOKUP(CONCATENATE("s.rule",A113,".tar.gz"),Sheet1!A:F,5,0),"")</f>
        <v>1427.6</v>
      </c>
      <c r="L113" s="2">
        <f t="shared" si="7"/>
        <v>3.3999999999998636</v>
      </c>
    </row>
    <row r="114" spans="1:12" x14ac:dyDescent="0.3">
      <c r="A114" s="4">
        <v>493</v>
      </c>
      <c r="B114">
        <v>2</v>
      </c>
      <c r="C114">
        <v>42</v>
      </c>
      <c r="D114" s="2">
        <v>46</v>
      </c>
      <c r="E114" s="2">
        <v>53</v>
      </c>
      <c r="G114" s="2">
        <f t="shared" si="16"/>
        <v>143</v>
      </c>
      <c r="I114" s="7">
        <f t="shared" si="15"/>
        <v>0.76</v>
      </c>
      <c r="J114" s="3">
        <v>1439.6</v>
      </c>
      <c r="K114" s="3">
        <f>_xlfn.IFNA(VLOOKUP(CONCATENATE("s.rule",A114,".tar.gz"),Sheet1!A:F,5,0),"")</f>
        <v>1442.7</v>
      </c>
      <c r="L114" s="2">
        <f t="shared" si="7"/>
        <v>3.1000000000001364</v>
      </c>
    </row>
    <row r="115" spans="1:12" x14ac:dyDescent="0.3">
      <c r="A115" s="4">
        <v>494</v>
      </c>
      <c r="B115">
        <v>2</v>
      </c>
      <c r="C115">
        <v>43</v>
      </c>
      <c r="D115" s="2">
        <v>45</v>
      </c>
      <c r="E115" s="2">
        <v>52</v>
      </c>
      <c r="G115" s="2">
        <f t="shared" si="16"/>
        <v>142</v>
      </c>
      <c r="I115" s="7">
        <f t="shared" si="15"/>
        <v>0.76166666666666671</v>
      </c>
      <c r="J115" s="3">
        <v>1411.4</v>
      </c>
      <c r="K115" s="3">
        <f>_xlfn.IFNA(VLOOKUP(CONCATENATE("s.rule",A115,".tar.gz"),Sheet1!A:F,5,0),"")</f>
        <v>1425.4</v>
      </c>
      <c r="L115" s="2">
        <f t="shared" si="7"/>
        <v>14</v>
      </c>
    </row>
    <row r="116" spans="1:12" x14ac:dyDescent="0.3">
      <c r="A116" s="4">
        <v>495</v>
      </c>
      <c r="B116">
        <v>2</v>
      </c>
      <c r="C116">
        <v>43</v>
      </c>
      <c r="D116" s="2">
        <v>45</v>
      </c>
      <c r="E116" s="2">
        <v>52</v>
      </c>
      <c r="G116" s="2">
        <f t="shared" si="16"/>
        <v>142</v>
      </c>
      <c r="L116" s="2" t="str">
        <f t="shared" si="7"/>
        <v/>
      </c>
    </row>
    <row r="117" spans="1:12" x14ac:dyDescent="0.3">
      <c r="A117" s="4">
        <v>496</v>
      </c>
      <c r="B117">
        <v>3</v>
      </c>
      <c r="C117">
        <v>34</v>
      </c>
      <c r="D117" s="2">
        <v>42</v>
      </c>
      <c r="E117" s="2">
        <v>48</v>
      </c>
      <c r="G117" s="2">
        <f t="shared" si="16"/>
        <v>127</v>
      </c>
      <c r="I117" s="7">
        <f>(600-G117-1)/600</f>
        <v>0.78666666666666663</v>
      </c>
      <c r="J117" s="3">
        <v>1429.8</v>
      </c>
      <c r="K117" s="3">
        <f>_xlfn.IFNA(VLOOKUP(CONCATENATE("s.rule",A117,".tar.gz"),Sheet1!A:F,5,0),"")</f>
        <v>1409.5</v>
      </c>
      <c r="L117" s="2">
        <f t="shared" si="7"/>
        <v>-20.299999999999955</v>
      </c>
    </row>
    <row r="118" spans="1:12" x14ac:dyDescent="0.3">
      <c r="A118" s="4">
        <f t="shared" ref="A118:A122" si="17">A117+1</f>
        <v>497</v>
      </c>
      <c r="B118">
        <v>3</v>
      </c>
      <c r="C118">
        <v>34</v>
      </c>
      <c r="D118" s="2">
        <v>42</v>
      </c>
      <c r="E118" s="2">
        <v>48</v>
      </c>
      <c r="G118" s="2">
        <f t="shared" si="16"/>
        <v>127</v>
      </c>
      <c r="L118" s="2" t="str">
        <f t="shared" si="7"/>
        <v/>
      </c>
    </row>
    <row r="119" spans="1:12" x14ac:dyDescent="0.3">
      <c r="A119" s="4">
        <f t="shared" si="17"/>
        <v>498</v>
      </c>
      <c r="B119">
        <v>3</v>
      </c>
      <c r="C119">
        <v>36</v>
      </c>
      <c r="D119" s="2">
        <v>43</v>
      </c>
      <c r="E119" s="2">
        <v>46</v>
      </c>
      <c r="G119" s="2">
        <f t="shared" si="16"/>
        <v>128</v>
      </c>
      <c r="I119" s="7">
        <f t="shared" ref="I119:I120" si="18">(600-G119-1)/600</f>
        <v>0.78500000000000003</v>
      </c>
      <c r="J119" s="3">
        <v>1415.9</v>
      </c>
      <c r="K119" s="3">
        <f>_xlfn.IFNA(VLOOKUP(CONCATENATE("s.rule",A119,".tar.gz"),Sheet1!A:F,5,0),"")</f>
        <v>1412.7</v>
      </c>
      <c r="L119" s="2">
        <f t="shared" si="7"/>
        <v>-3.2000000000000455</v>
      </c>
    </row>
    <row r="120" spans="1:12" x14ac:dyDescent="0.3">
      <c r="A120" s="4">
        <f t="shared" si="17"/>
        <v>499</v>
      </c>
      <c r="B120">
        <v>3</v>
      </c>
      <c r="C120">
        <v>36</v>
      </c>
      <c r="D120" s="2">
        <v>44</v>
      </c>
      <c r="E120" s="2">
        <v>45</v>
      </c>
      <c r="G120" s="2">
        <f t="shared" si="16"/>
        <v>128</v>
      </c>
      <c r="I120" s="7">
        <f t="shared" si="18"/>
        <v>0.78500000000000003</v>
      </c>
      <c r="J120" s="3">
        <v>1409.6</v>
      </c>
      <c r="K120" s="3">
        <f>_xlfn.IFNA(VLOOKUP(CONCATENATE("s.rule",A120,".tar.gz"),Sheet1!A:F,5,0),"")</f>
        <v>1428.6</v>
      </c>
      <c r="L120" s="2">
        <f t="shared" si="7"/>
        <v>19</v>
      </c>
    </row>
    <row r="121" spans="1:12" x14ac:dyDescent="0.3">
      <c r="A121" s="4">
        <f t="shared" si="17"/>
        <v>500</v>
      </c>
      <c r="B121">
        <v>3</v>
      </c>
      <c r="C121" s="2">
        <v>36</v>
      </c>
      <c r="D121" s="2">
        <v>50</v>
      </c>
      <c r="E121" s="2">
        <v>45</v>
      </c>
      <c r="G121" s="2">
        <f t="shared" si="16"/>
        <v>134</v>
      </c>
      <c r="L121" s="2" t="str">
        <f t="shared" si="7"/>
        <v/>
      </c>
    </row>
    <row r="122" spans="1:12" x14ac:dyDescent="0.3">
      <c r="A122" s="4">
        <f t="shared" si="17"/>
        <v>501</v>
      </c>
      <c r="B122">
        <v>3</v>
      </c>
      <c r="C122" s="2">
        <v>36</v>
      </c>
      <c r="D122" s="2">
        <v>45</v>
      </c>
      <c r="E122" s="2">
        <v>43</v>
      </c>
      <c r="G122" s="2">
        <f t="shared" si="16"/>
        <v>127</v>
      </c>
      <c r="I122" s="7">
        <f>(600-G122-1)/600</f>
        <v>0.78666666666666663</v>
      </c>
      <c r="J122" s="3">
        <v>1451.7</v>
      </c>
      <c r="K122" s="3">
        <f>_xlfn.IFNA(VLOOKUP(CONCATENATE("s.rule",A122,".tar.gz"),Sheet1!A:F,5,0),"")</f>
        <v>1441.2</v>
      </c>
      <c r="L122" s="2">
        <f t="shared" si="7"/>
        <v>-10.5</v>
      </c>
    </row>
    <row r="123" spans="1:12" x14ac:dyDescent="0.3">
      <c r="A123" s="4">
        <v>502</v>
      </c>
      <c r="B123">
        <v>4</v>
      </c>
      <c r="C123">
        <v>38</v>
      </c>
      <c r="D123" s="2">
        <v>52</v>
      </c>
      <c r="E123" s="2">
        <v>46</v>
      </c>
      <c r="G123" s="2">
        <f t="shared" si="16"/>
        <v>140</v>
      </c>
      <c r="L123" s="2" t="str">
        <f t="shared" si="7"/>
        <v/>
      </c>
    </row>
    <row r="124" spans="1:12" x14ac:dyDescent="0.3">
      <c r="A124" s="4" t="s">
        <v>78</v>
      </c>
      <c r="B124">
        <v>4</v>
      </c>
      <c r="C124">
        <v>41</v>
      </c>
      <c r="D124" s="2">
        <v>47</v>
      </c>
      <c r="E124" s="2">
        <v>40</v>
      </c>
      <c r="G124" s="2">
        <f t="shared" si="16"/>
        <v>132</v>
      </c>
      <c r="I124" s="7">
        <f>(600-G124-1)/600</f>
        <v>0.77833333333333332</v>
      </c>
      <c r="J124" s="3">
        <v>1415.9</v>
      </c>
      <c r="K124" s="3">
        <f>_xlfn.IFNA(VLOOKUP(CONCATENATE("s.rule",A124,".tar.gz"),Sheet1!A:F,5,0),"")</f>
        <v>1424.9</v>
      </c>
      <c r="L124" s="2">
        <f t="shared" si="7"/>
        <v>9</v>
      </c>
    </row>
    <row r="125" spans="1:12" x14ac:dyDescent="0.3">
      <c r="A125" s="4" t="s">
        <v>79</v>
      </c>
      <c r="B125">
        <v>3</v>
      </c>
      <c r="C125">
        <v>38</v>
      </c>
      <c r="D125" s="2">
        <v>47</v>
      </c>
      <c r="E125" s="2">
        <v>43</v>
      </c>
      <c r="G125" s="2">
        <f t="shared" si="16"/>
        <v>131</v>
      </c>
      <c r="L125" s="2" t="str">
        <f t="shared" si="7"/>
        <v/>
      </c>
    </row>
    <row r="126" spans="1:12" x14ac:dyDescent="0.3">
      <c r="A126" s="4" t="s">
        <v>80</v>
      </c>
      <c r="B126">
        <v>3</v>
      </c>
      <c r="C126">
        <v>36</v>
      </c>
      <c r="D126" s="2">
        <v>45</v>
      </c>
      <c r="E126" s="2">
        <v>43</v>
      </c>
      <c r="G126" s="2">
        <f t="shared" si="16"/>
        <v>127</v>
      </c>
      <c r="L126" s="2" t="str">
        <f t="shared" si="7"/>
        <v/>
      </c>
    </row>
    <row r="127" spans="1:12" x14ac:dyDescent="0.3">
      <c r="A127" s="4">
        <v>503</v>
      </c>
      <c r="B127">
        <v>3</v>
      </c>
      <c r="C127">
        <v>40</v>
      </c>
      <c r="D127" s="2">
        <v>45</v>
      </c>
      <c r="E127" s="2">
        <v>43</v>
      </c>
      <c r="F127" s="2">
        <v>95</v>
      </c>
      <c r="G127" s="2">
        <f t="shared" si="16"/>
        <v>131</v>
      </c>
      <c r="H127" s="2">
        <f>SUM(B127:F127)-1</f>
        <v>225</v>
      </c>
      <c r="I127" s="7">
        <f t="shared" ref="I127:I129" si="19">(600-G127-1)/600</f>
        <v>0.78</v>
      </c>
      <c r="L127" s="2" t="str">
        <f t="shared" si="7"/>
        <v/>
      </c>
    </row>
    <row r="128" spans="1:12" x14ac:dyDescent="0.3">
      <c r="A128" s="4">
        <v>504</v>
      </c>
      <c r="B128">
        <v>4</v>
      </c>
      <c r="C128">
        <v>41</v>
      </c>
      <c r="D128" s="2">
        <v>47</v>
      </c>
      <c r="E128" s="2">
        <v>44</v>
      </c>
      <c r="F128" s="2">
        <v>94</v>
      </c>
      <c r="G128" s="2">
        <f t="shared" si="16"/>
        <v>136</v>
      </c>
      <c r="H128" s="2">
        <f t="shared" ref="H128:H146" si="20">SUM(B128:F128)-1</f>
        <v>229</v>
      </c>
      <c r="I128" s="7">
        <f t="shared" si="19"/>
        <v>0.77166666666666661</v>
      </c>
      <c r="L128" s="2" t="str">
        <f t="shared" si="7"/>
        <v/>
      </c>
    </row>
    <row r="129" spans="1:12" x14ac:dyDescent="0.3">
      <c r="A129" s="4" t="s">
        <v>81</v>
      </c>
      <c r="B129">
        <v>3</v>
      </c>
      <c r="C129">
        <v>40</v>
      </c>
      <c r="D129" s="2">
        <v>45</v>
      </c>
      <c r="E129" s="2">
        <v>44</v>
      </c>
      <c r="F129" s="2">
        <v>94</v>
      </c>
      <c r="G129" s="2">
        <f t="shared" si="16"/>
        <v>132</v>
      </c>
      <c r="H129" s="2">
        <f t="shared" si="20"/>
        <v>225</v>
      </c>
      <c r="I129" s="7">
        <f t="shared" si="19"/>
        <v>0.77833333333333332</v>
      </c>
      <c r="L129" s="2" t="str">
        <f t="shared" si="7"/>
        <v/>
      </c>
    </row>
    <row r="130" spans="1:12" x14ac:dyDescent="0.3">
      <c r="A130" s="4">
        <v>505</v>
      </c>
      <c r="B130">
        <v>5</v>
      </c>
      <c r="C130">
        <v>32</v>
      </c>
      <c r="D130" s="2">
        <v>47</v>
      </c>
      <c r="E130" s="2">
        <v>44</v>
      </c>
      <c r="F130" s="2">
        <v>84</v>
      </c>
      <c r="G130" s="2">
        <f t="shared" si="16"/>
        <v>128</v>
      </c>
      <c r="H130" s="2">
        <f t="shared" si="20"/>
        <v>211</v>
      </c>
      <c r="I130" s="7">
        <f t="shared" ref="I130:I132" si="21">(600-G130-1)/600</f>
        <v>0.78500000000000003</v>
      </c>
      <c r="J130" s="3">
        <v>1423.4</v>
      </c>
      <c r="K130" s="3">
        <f>_xlfn.IFNA(VLOOKUP(CONCATENATE("s.rule",A130,".tar.gz"),Sheet1!A:F,5,0),"")</f>
        <v>1430.8</v>
      </c>
      <c r="L130" s="2">
        <f t="shared" si="7"/>
        <v>7.3999999999998636</v>
      </c>
    </row>
    <row r="131" spans="1:12" x14ac:dyDescent="0.3">
      <c r="A131" s="4">
        <v>506</v>
      </c>
      <c r="B131">
        <v>2</v>
      </c>
      <c r="C131">
        <v>29</v>
      </c>
      <c r="D131" s="2">
        <v>46</v>
      </c>
      <c r="E131" s="2">
        <v>47</v>
      </c>
      <c r="F131" s="2">
        <v>82</v>
      </c>
      <c r="G131" s="2">
        <f t="shared" si="16"/>
        <v>124</v>
      </c>
      <c r="H131" s="2">
        <f t="shared" si="20"/>
        <v>205</v>
      </c>
      <c r="I131" s="7">
        <f t="shared" si="21"/>
        <v>0.79166666666666663</v>
      </c>
      <c r="J131" s="3">
        <v>1456.1</v>
      </c>
      <c r="K131" s="3">
        <f>_xlfn.IFNA(VLOOKUP(CONCATENATE("s.rule",A131,".tar.gz"),Sheet1!A:F,5,0),"")</f>
        <v>1455.4</v>
      </c>
      <c r="L131" s="2">
        <f t="shared" si="7"/>
        <v>-0.6999999999998181</v>
      </c>
    </row>
    <row r="132" spans="1:12" x14ac:dyDescent="0.3">
      <c r="A132" s="4">
        <v>507</v>
      </c>
      <c r="B132">
        <v>1</v>
      </c>
      <c r="C132">
        <v>35</v>
      </c>
      <c r="D132" s="2">
        <v>49</v>
      </c>
      <c r="E132" s="2">
        <v>48</v>
      </c>
      <c r="F132" s="2">
        <v>86</v>
      </c>
      <c r="G132" s="2">
        <f t="shared" si="16"/>
        <v>133</v>
      </c>
      <c r="H132" s="2">
        <f t="shared" si="20"/>
        <v>218</v>
      </c>
      <c r="I132" s="7">
        <f t="shared" si="21"/>
        <v>0.77666666666666662</v>
      </c>
      <c r="J132" s="3">
        <v>1454.3</v>
      </c>
      <c r="K132" s="3">
        <f>_xlfn.IFNA(VLOOKUP(CONCATENATE("s.rule",A132,".tar.gz"),Sheet1!A:F,5,0),"")</f>
        <v>1456.1</v>
      </c>
      <c r="L132" s="2">
        <f t="shared" si="7"/>
        <v>1.7999999999999545</v>
      </c>
    </row>
    <row r="133" spans="1:12" x14ac:dyDescent="0.3">
      <c r="A133" s="4">
        <v>508</v>
      </c>
      <c r="B133">
        <v>4</v>
      </c>
      <c r="C133">
        <v>47</v>
      </c>
      <c r="D133" s="2">
        <v>44</v>
      </c>
      <c r="E133" s="2">
        <v>43</v>
      </c>
      <c r="F133" s="2">
        <v>84</v>
      </c>
      <c r="G133" s="2">
        <f t="shared" si="16"/>
        <v>138</v>
      </c>
      <c r="H133" s="2">
        <f t="shared" si="20"/>
        <v>221</v>
      </c>
      <c r="I133" s="7">
        <f t="shared" ref="I133:I138" si="22">(600-G133-1)/600</f>
        <v>0.76833333333333331</v>
      </c>
      <c r="L133" s="2" t="str">
        <f t="shared" si="7"/>
        <v/>
      </c>
    </row>
    <row r="134" spans="1:12" x14ac:dyDescent="0.3">
      <c r="A134" s="4">
        <v>509</v>
      </c>
      <c r="B134">
        <v>3</v>
      </c>
      <c r="C134">
        <v>38</v>
      </c>
      <c r="D134" s="2">
        <v>41</v>
      </c>
      <c r="E134" s="2">
        <v>42</v>
      </c>
      <c r="F134" s="2">
        <v>88</v>
      </c>
      <c r="G134" s="2">
        <f t="shared" si="16"/>
        <v>124</v>
      </c>
      <c r="H134" s="2">
        <f t="shared" si="20"/>
        <v>211</v>
      </c>
      <c r="I134" s="7">
        <f t="shared" si="22"/>
        <v>0.79166666666666663</v>
      </c>
      <c r="J134" s="3">
        <v>1470.5</v>
      </c>
      <c r="K134" s="3">
        <f>_xlfn.IFNA(VLOOKUP(CONCATENATE("s.rule",A134,".tar.gz"),Sheet1!A:F,5,0),"")</f>
        <v>1450.7</v>
      </c>
      <c r="L134" s="2">
        <f t="shared" ref="L134:L137" si="23">IF(K134&lt;&gt;"",K134-J134,"")</f>
        <v>-19.799999999999955</v>
      </c>
    </row>
    <row r="135" spans="1:12" x14ac:dyDescent="0.3">
      <c r="A135" s="4">
        <v>510</v>
      </c>
      <c r="B135">
        <v>4</v>
      </c>
      <c r="C135">
        <v>45</v>
      </c>
      <c r="D135" s="2">
        <v>49</v>
      </c>
      <c r="E135" s="2">
        <v>38</v>
      </c>
      <c r="F135" s="2">
        <v>85</v>
      </c>
      <c r="G135" s="2">
        <f t="shared" si="16"/>
        <v>136</v>
      </c>
      <c r="H135" s="2">
        <f t="shared" si="20"/>
        <v>220</v>
      </c>
      <c r="I135" s="7">
        <f t="shared" si="22"/>
        <v>0.77166666666666661</v>
      </c>
      <c r="L135" s="2" t="str">
        <f t="shared" si="23"/>
        <v/>
      </c>
    </row>
    <row r="136" spans="1:12" x14ac:dyDescent="0.3">
      <c r="A136" s="4" t="s">
        <v>82</v>
      </c>
      <c r="B136">
        <v>2</v>
      </c>
      <c r="C136">
        <v>45</v>
      </c>
      <c r="D136" s="2">
        <v>38</v>
      </c>
      <c r="E136" s="2">
        <v>35</v>
      </c>
      <c r="F136" s="2">
        <v>85</v>
      </c>
      <c r="G136" s="2">
        <f t="shared" si="16"/>
        <v>120</v>
      </c>
      <c r="H136" s="2">
        <f t="shared" si="20"/>
        <v>204</v>
      </c>
      <c r="I136" s="7">
        <f t="shared" si="22"/>
        <v>0.79833333333333334</v>
      </c>
      <c r="J136" s="3">
        <v>1450.8</v>
      </c>
      <c r="K136" s="3">
        <f>_xlfn.IFNA(VLOOKUP(CONCATENATE("s.rule",A136,".tar.gz"),Sheet1!A:F,5,0),"")</f>
        <v>1440.2</v>
      </c>
      <c r="L136" s="2">
        <f t="shared" si="23"/>
        <v>-10.599999999999909</v>
      </c>
    </row>
    <row r="137" spans="1:12" x14ac:dyDescent="0.3">
      <c r="A137" s="4" t="s">
        <v>100</v>
      </c>
      <c r="B137">
        <v>2</v>
      </c>
      <c r="C137">
        <v>45</v>
      </c>
      <c r="D137" s="2">
        <v>37</v>
      </c>
      <c r="E137" s="2">
        <v>35</v>
      </c>
      <c r="F137" s="2">
        <v>86</v>
      </c>
      <c r="G137" s="2">
        <f t="shared" si="16"/>
        <v>119</v>
      </c>
      <c r="H137" s="2">
        <f t="shared" si="20"/>
        <v>204</v>
      </c>
      <c r="I137" s="7">
        <f t="shared" si="22"/>
        <v>0.8</v>
      </c>
      <c r="J137" s="3">
        <v>1420.2</v>
      </c>
      <c r="K137" s="3">
        <f>_xlfn.IFNA(VLOOKUP(CONCATENATE("s.rule",A137,".tar.gz"),Sheet1!A:F,5,0),"")</f>
        <v>1443.8</v>
      </c>
      <c r="L137" s="2">
        <f t="shared" si="23"/>
        <v>23.599999999999909</v>
      </c>
    </row>
    <row r="138" spans="1:12" x14ac:dyDescent="0.3">
      <c r="A138" s="4">
        <v>511</v>
      </c>
      <c r="B138">
        <v>3</v>
      </c>
      <c r="C138">
        <v>40</v>
      </c>
      <c r="D138" s="2">
        <v>41</v>
      </c>
      <c r="E138" s="2">
        <v>37</v>
      </c>
      <c r="F138" s="2">
        <v>84</v>
      </c>
      <c r="G138" s="2">
        <f t="shared" si="16"/>
        <v>121</v>
      </c>
      <c r="H138" s="2">
        <f t="shared" si="20"/>
        <v>204</v>
      </c>
      <c r="I138" s="7">
        <f t="shared" si="22"/>
        <v>0.79666666666666663</v>
      </c>
      <c r="J138" s="3">
        <v>1498.4</v>
      </c>
      <c r="K138" s="3">
        <f>_xlfn.IFNA(VLOOKUP(CONCATENATE("s.rule",A138,".tar.gz"),Sheet1!A:F,5,0),"")</f>
        <v>1478.7</v>
      </c>
      <c r="L138" s="2">
        <f t="shared" ref="L138:L142" si="24">IF(K138&lt;&gt;"",K138-J138,"")</f>
        <v>-19.700000000000045</v>
      </c>
    </row>
    <row r="139" spans="1:12" s="2" customFormat="1" x14ac:dyDescent="0.3">
      <c r="A139" s="8" t="s">
        <v>126</v>
      </c>
      <c r="B139" s="2">
        <v>3</v>
      </c>
      <c r="C139" s="2">
        <v>26</v>
      </c>
      <c r="D139" s="2">
        <v>19</v>
      </c>
      <c r="F139" s="2">
        <v>56</v>
      </c>
      <c r="I139" s="7"/>
      <c r="J139" s="3">
        <v>1487.6</v>
      </c>
      <c r="K139" s="3">
        <f>_xlfn.IFNA(VLOOKUP(CONCATENATE("s.rule",A139,".tar.gz"),Sheet1!A:F,5,0),"")</f>
        <v>1487.6</v>
      </c>
      <c r="L139" s="2">
        <f t="shared" si="24"/>
        <v>0</v>
      </c>
    </row>
    <row r="140" spans="1:12" s="2" customFormat="1" x14ac:dyDescent="0.3">
      <c r="A140" s="8" t="s">
        <v>140</v>
      </c>
      <c r="B140" s="2">
        <v>3</v>
      </c>
      <c r="I140" s="7"/>
      <c r="J140" s="3">
        <v>1449.4</v>
      </c>
      <c r="K140" s="3">
        <f>_xlfn.IFNA(VLOOKUP(CONCATENATE("s.rule",A140,".tar.gz"),Sheet1!A:F,5,0),"")</f>
        <v>1470.4</v>
      </c>
      <c r="L140" s="2">
        <f t="shared" si="24"/>
        <v>21</v>
      </c>
    </row>
    <row r="141" spans="1:12" x14ac:dyDescent="0.3">
      <c r="A141" s="4">
        <f>A138+1</f>
        <v>512</v>
      </c>
      <c r="B141">
        <v>1</v>
      </c>
      <c r="C141">
        <v>38</v>
      </c>
      <c r="D141" s="2">
        <v>38</v>
      </c>
      <c r="E141" s="2">
        <v>39</v>
      </c>
      <c r="F141" s="2">
        <v>86</v>
      </c>
      <c r="G141" s="2">
        <f t="shared" ref="G141:G147" si="25">SUM(B141:E141)</f>
        <v>116</v>
      </c>
      <c r="H141" s="2">
        <f t="shared" si="20"/>
        <v>201</v>
      </c>
      <c r="I141" s="7">
        <f t="shared" ref="I141:I148" si="26">(600-G141-1)/600</f>
        <v>0.80500000000000005</v>
      </c>
      <c r="J141" s="3">
        <v>1459.3</v>
      </c>
      <c r="K141" s="3">
        <f>_xlfn.IFNA(VLOOKUP(CONCATENATE("s.rule",A141,".tar.gz"),Sheet1!A:F,5,0),"")</f>
        <v>1480.4</v>
      </c>
      <c r="L141" s="2">
        <f t="shared" si="24"/>
        <v>21.100000000000136</v>
      </c>
    </row>
    <row r="142" spans="1:12" x14ac:dyDescent="0.3">
      <c r="A142" s="4">
        <f t="shared" ref="A142" si="27">A141+1</f>
        <v>513</v>
      </c>
      <c r="B142">
        <v>1</v>
      </c>
      <c r="C142">
        <v>38</v>
      </c>
      <c r="D142" s="2">
        <v>38</v>
      </c>
      <c r="E142" s="2">
        <v>40</v>
      </c>
      <c r="F142" s="2">
        <v>86</v>
      </c>
      <c r="G142" s="2">
        <f t="shared" si="25"/>
        <v>117</v>
      </c>
      <c r="H142" s="2">
        <f t="shared" si="20"/>
        <v>202</v>
      </c>
      <c r="I142" s="7">
        <f t="shared" si="26"/>
        <v>0.80333333333333334</v>
      </c>
      <c r="J142" s="3">
        <v>1454.2</v>
      </c>
      <c r="K142" s="3">
        <f>_xlfn.IFNA(VLOOKUP(CONCATENATE("s.rule",A142,".tar.gz"),Sheet1!A:F,5,0),"")</f>
        <v>1487</v>
      </c>
      <c r="L142" s="2">
        <f t="shared" si="24"/>
        <v>32.799999999999955</v>
      </c>
    </row>
    <row r="143" spans="1:12" s="2" customFormat="1" x14ac:dyDescent="0.3">
      <c r="A143" s="4">
        <v>514</v>
      </c>
      <c r="B143" s="2">
        <v>2</v>
      </c>
      <c r="C143" s="2">
        <v>36</v>
      </c>
      <c r="D143" s="2">
        <v>36</v>
      </c>
      <c r="E143" s="2">
        <v>31</v>
      </c>
      <c r="F143" s="2">
        <v>85</v>
      </c>
      <c r="G143" s="2">
        <f t="shared" si="25"/>
        <v>105</v>
      </c>
      <c r="H143" s="2">
        <f t="shared" si="20"/>
        <v>189</v>
      </c>
      <c r="I143" s="7">
        <f t="shared" si="26"/>
        <v>0.82333333333333336</v>
      </c>
      <c r="J143" s="3">
        <v>1419.2</v>
      </c>
      <c r="K143" s="3">
        <f>_xlfn.IFNA(VLOOKUP(CONCATENATE("s.rule",A143,".tar.gz"),Sheet1!A:F,5,0),"")</f>
        <v>1439</v>
      </c>
      <c r="L143" s="2">
        <f t="shared" ref="L143:L160" si="28">IF(K143&lt;&gt;"",K143-J143,"")</f>
        <v>19.799999999999955</v>
      </c>
    </row>
    <row r="144" spans="1:12" x14ac:dyDescent="0.3">
      <c r="A144" s="4" t="s">
        <v>109</v>
      </c>
      <c r="B144">
        <v>2</v>
      </c>
      <c r="C144">
        <v>37</v>
      </c>
      <c r="D144" s="2">
        <v>33</v>
      </c>
      <c r="E144" s="2">
        <v>27</v>
      </c>
      <c r="F144" s="2">
        <v>83</v>
      </c>
      <c r="G144" s="2">
        <f t="shared" si="25"/>
        <v>99</v>
      </c>
      <c r="H144" s="2">
        <f t="shared" si="20"/>
        <v>181</v>
      </c>
      <c r="I144" s="7">
        <f t="shared" si="26"/>
        <v>0.83333333333333337</v>
      </c>
      <c r="J144" s="3">
        <v>1426.1</v>
      </c>
      <c r="K144" s="3">
        <f>_xlfn.IFNA(VLOOKUP(CONCATENATE("s.rule",A144,".tar.gz"),Sheet1!A:F,5,0),"")</f>
        <v>1403.4</v>
      </c>
      <c r="L144" s="2">
        <f t="shared" si="28"/>
        <v>-22.699999999999818</v>
      </c>
    </row>
    <row r="145" spans="1:12" s="2" customFormat="1" x14ac:dyDescent="0.3">
      <c r="A145" s="8">
        <v>516</v>
      </c>
      <c r="B145" s="2">
        <v>5</v>
      </c>
      <c r="C145" s="2">
        <v>26</v>
      </c>
      <c r="D145" s="2">
        <v>21</v>
      </c>
      <c r="E145" s="2">
        <v>29</v>
      </c>
      <c r="F145" s="2">
        <v>53</v>
      </c>
      <c r="G145" s="2">
        <f t="shared" si="25"/>
        <v>81</v>
      </c>
      <c r="H145" s="2">
        <f t="shared" si="20"/>
        <v>133</v>
      </c>
      <c r="I145" s="7">
        <f t="shared" si="26"/>
        <v>0.86333333333333329</v>
      </c>
      <c r="J145" s="3"/>
      <c r="K145" s="3"/>
    </row>
    <row r="146" spans="1:12" x14ac:dyDescent="0.3">
      <c r="A146" s="8">
        <v>517</v>
      </c>
      <c r="B146">
        <v>5</v>
      </c>
      <c r="C146">
        <v>27</v>
      </c>
      <c r="D146" s="2">
        <v>20</v>
      </c>
      <c r="E146" s="2">
        <v>35</v>
      </c>
      <c r="F146" s="2">
        <v>55</v>
      </c>
      <c r="G146" s="2">
        <f t="shared" si="25"/>
        <v>87</v>
      </c>
      <c r="H146" s="2">
        <f t="shared" si="20"/>
        <v>141</v>
      </c>
      <c r="I146" s="7">
        <f t="shared" si="26"/>
        <v>0.85333333333333339</v>
      </c>
      <c r="J146" s="3">
        <v>1534.2</v>
      </c>
      <c r="K146" s="3">
        <f>_xlfn.IFNA(VLOOKUP(CONCATENATE("s.rule",A146,".tar.gz"),Sheet1!A:F,5,0),"")</f>
        <v>1544.5</v>
      </c>
      <c r="L146" s="2">
        <f t="shared" si="28"/>
        <v>10.299999999999955</v>
      </c>
    </row>
    <row r="147" spans="1:12" s="2" customFormat="1" x14ac:dyDescent="0.3">
      <c r="A147" s="8">
        <v>518</v>
      </c>
      <c r="B147" s="2">
        <v>2</v>
      </c>
      <c r="C147" s="2">
        <v>25</v>
      </c>
      <c r="D147" s="2">
        <v>24</v>
      </c>
      <c r="E147" s="2">
        <v>24</v>
      </c>
      <c r="F147" s="2">
        <v>64</v>
      </c>
      <c r="G147" s="2">
        <f t="shared" si="25"/>
        <v>75</v>
      </c>
      <c r="H147" s="2">
        <f t="shared" ref="H147:H155" si="29">SUM(B147:F147)-1</f>
        <v>138</v>
      </c>
      <c r="I147" s="7">
        <f t="shared" si="26"/>
        <v>0.87333333333333329</v>
      </c>
      <c r="J147" s="3">
        <v>1503.3</v>
      </c>
      <c r="K147" s="3">
        <f>_xlfn.IFNA(VLOOKUP(CONCATENATE("s.rule",A147,".tar.gz"),Sheet1!A:F,5,0),"")</f>
        <v>1515.1</v>
      </c>
      <c r="L147" s="2">
        <f t="shared" ref="L147:L148" si="30">IF(K147&lt;&gt;"",K147-J147,"")</f>
        <v>11.799999999999955</v>
      </c>
    </row>
    <row r="148" spans="1:12" s="2" customFormat="1" x14ac:dyDescent="0.3">
      <c r="A148" s="8">
        <v>519</v>
      </c>
      <c r="B148" s="2">
        <v>2</v>
      </c>
      <c r="C148" s="10">
        <v>24</v>
      </c>
      <c r="D148" s="10">
        <v>18</v>
      </c>
      <c r="E148" s="10">
        <v>24</v>
      </c>
      <c r="F148" s="10">
        <v>53</v>
      </c>
      <c r="G148" s="2">
        <f t="shared" ref="G148:G156" si="31">SUM(B148:E148)</f>
        <v>68</v>
      </c>
      <c r="H148" s="2">
        <f t="shared" si="29"/>
        <v>120</v>
      </c>
      <c r="I148" s="7">
        <f t="shared" si="26"/>
        <v>0.88500000000000001</v>
      </c>
      <c r="J148" s="3">
        <v>1511.9</v>
      </c>
      <c r="K148" s="3">
        <f>_xlfn.IFNA(VLOOKUP(CONCATENATE("s.rule",A148,".tar.gz"),Sheet1!A:F,5,0),"")</f>
        <v>1547.1</v>
      </c>
      <c r="L148" s="2">
        <f t="shared" si="30"/>
        <v>35.199999999999818</v>
      </c>
    </row>
    <row r="149" spans="1:12" s="2" customFormat="1" x14ac:dyDescent="0.3">
      <c r="A149" s="8" t="s">
        <v>132</v>
      </c>
      <c r="C149" s="10">
        <v>24</v>
      </c>
      <c r="D149" s="10">
        <v>18</v>
      </c>
      <c r="E149" s="10">
        <v>24</v>
      </c>
      <c r="F149" s="10">
        <v>53</v>
      </c>
      <c r="G149" s="2">
        <f t="shared" si="31"/>
        <v>66</v>
      </c>
      <c r="H149" s="2">
        <f t="shared" si="29"/>
        <v>118</v>
      </c>
      <c r="I149" s="7">
        <f t="shared" ref="I149:I152" si="32">(600-G149-1)/600</f>
        <v>0.88833333333333331</v>
      </c>
      <c r="J149" s="3"/>
      <c r="K149" s="3"/>
    </row>
    <row r="150" spans="1:12" s="2" customFormat="1" x14ac:dyDescent="0.3">
      <c r="A150" s="8" t="s">
        <v>130</v>
      </c>
      <c r="C150" s="10">
        <v>22</v>
      </c>
      <c r="D150" s="10">
        <v>20</v>
      </c>
      <c r="E150" s="10">
        <v>25</v>
      </c>
      <c r="F150" s="10">
        <v>56</v>
      </c>
      <c r="G150" s="2">
        <f t="shared" si="31"/>
        <v>67</v>
      </c>
      <c r="H150" s="2">
        <f t="shared" si="29"/>
        <v>122</v>
      </c>
      <c r="I150" s="7">
        <f t="shared" si="32"/>
        <v>0.88666666666666671</v>
      </c>
      <c r="J150" s="3"/>
      <c r="K150" s="3"/>
    </row>
    <row r="151" spans="1:12" s="2" customFormat="1" x14ac:dyDescent="0.3">
      <c r="A151" s="8" t="s">
        <v>131</v>
      </c>
      <c r="C151" s="10">
        <v>26</v>
      </c>
      <c r="D151" s="10">
        <v>27</v>
      </c>
      <c r="E151" s="10">
        <v>25</v>
      </c>
      <c r="F151" s="10">
        <v>69</v>
      </c>
      <c r="G151" s="2">
        <f t="shared" si="31"/>
        <v>78</v>
      </c>
      <c r="H151" s="2">
        <f t="shared" si="29"/>
        <v>146</v>
      </c>
      <c r="I151" s="7">
        <f t="shared" si="32"/>
        <v>0.86833333333333329</v>
      </c>
      <c r="J151" s="3"/>
      <c r="K151" s="3"/>
    </row>
    <row r="152" spans="1:12" s="2" customFormat="1" x14ac:dyDescent="0.3">
      <c r="A152" s="8" t="s">
        <v>133</v>
      </c>
      <c r="C152" s="10">
        <v>25</v>
      </c>
      <c r="D152" s="10">
        <v>24</v>
      </c>
      <c r="E152" s="10">
        <v>24</v>
      </c>
      <c r="F152" s="10">
        <v>64</v>
      </c>
      <c r="G152" s="2">
        <f t="shared" si="31"/>
        <v>73</v>
      </c>
      <c r="H152" s="2">
        <f t="shared" si="29"/>
        <v>136</v>
      </c>
      <c r="I152" s="7">
        <f t="shared" si="32"/>
        <v>0.87666666666666671</v>
      </c>
      <c r="J152" s="3"/>
      <c r="K152" s="3"/>
    </row>
    <row r="153" spans="1:12" s="2" customFormat="1" x14ac:dyDescent="0.3">
      <c r="A153" s="8" t="s">
        <v>136</v>
      </c>
      <c r="B153" s="2">
        <v>2</v>
      </c>
      <c r="C153" s="10">
        <v>21</v>
      </c>
      <c r="D153" s="10">
        <v>20</v>
      </c>
      <c r="E153" s="10">
        <v>25</v>
      </c>
      <c r="F153" s="10">
        <v>51</v>
      </c>
      <c r="G153" s="2">
        <f t="shared" ref="G153" si="33">SUM(B153:E153)</f>
        <v>68</v>
      </c>
      <c r="H153" s="2">
        <f t="shared" ref="H153" si="34">SUM(B153:F153)-1</f>
        <v>118</v>
      </c>
      <c r="I153" s="7">
        <f t="shared" ref="I153" si="35">(600-G153-1)/600</f>
        <v>0.88500000000000001</v>
      </c>
      <c r="J153" s="3">
        <v>1533.8</v>
      </c>
      <c r="K153" s="3">
        <f>_xlfn.IFNA(VLOOKUP(CONCATENATE("s.rule",A153,".tar.gz"),Sheet1!A:F,5,0),"")</f>
        <v>1539.6</v>
      </c>
      <c r="L153" s="2">
        <f t="shared" si="28"/>
        <v>5.7999999999999545</v>
      </c>
    </row>
    <row r="154" spans="1:12" s="2" customFormat="1" x14ac:dyDescent="0.3">
      <c r="A154" s="8">
        <v>520</v>
      </c>
      <c r="B154" s="2">
        <v>3</v>
      </c>
      <c r="C154" s="10">
        <v>21</v>
      </c>
      <c r="D154" s="10">
        <v>21</v>
      </c>
      <c r="E154" s="10">
        <v>27</v>
      </c>
      <c r="F154" s="10">
        <v>47</v>
      </c>
      <c r="G154" s="2">
        <f t="shared" si="31"/>
        <v>72</v>
      </c>
      <c r="H154" s="2">
        <f t="shared" si="29"/>
        <v>118</v>
      </c>
      <c r="I154" s="7">
        <f>(600-G154-1)/600</f>
        <v>0.8783333333333333</v>
      </c>
      <c r="J154" s="3">
        <v>1544</v>
      </c>
      <c r="K154" s="3">
        <f>_xlfn.IFNA(VLOOKUP(CONCATENATE("s.rule",A154,".tar.gz"),Sheet1!A:F,5,0),"")</f>
        <v>1556</v>
      </c>
      <c r="L154" s="2">
        <f t="shared" si="28"/>
        <v>12</v>
      </c>
    </row>
    <row r="155" spans="1:12" s="2" customFormat="1" x14ac:dyDescent="0.3">
      <c r="A155" s="8" t="s">
        <v>143</v>
      </c>
      <c r="C155" s="10"/>
      <c r="D155" s="10"/>
      <c r="E155" s="10"/>
      <c r="F155" s="10"/>
      <c r="G155" s="2">
        <f t="shared" ref="G155" si="36">SUM(B155:E155)</f>
        <v>0</v>
      </c>
      <c r="H155" s="2">
        <f t="shared" si="29"/>
        <v>-1</v>
      </c>
      <c r="I155" s="7">
        <f>(600-G155-1)/600</f>
        <v>0.99833333333333329</v>
      </c>
      <c r="J155" s="3">
        <v>1514.9</v>
      </c>
      <c r="K155" s="3">
        <f>_xlfn.IFNA(VLOOKUP(CONCATENATE("s.rule",A155,".tar.gz"),Sheet1!A:F,5,0),"")</f>
        <v>1539.3</v>
      </c>
      <c r="L155" s="2">
        <f t="shared" si="28"/>
        <v>24.399999999999864</v>
      </c>
    </row>
    <row r="156" spans="1:12" s="2" customFormat="1" x14ac:dyDescent="0.3">
      <c r="A156" s="8">
        <v>521</v>
      </c>
      <c r="B156" s="2">
        <v>2</v>
      </c>
      <c r="C156" s="10">
        <v>26</v>
      </c>
      <c r="D156" s="10">
        <v>19</v>
      </c>
      <c r="E156" s="10">
        <v>24</v>
      </c>
      <c r="F156" s="10">
        <v>46</v>
      </c>
      <c r="G156" s="2">
        <f t="shared" si="31"/>
        <v>71</v>
      </c>
      <c r="H156" s="2">
        <f t="shared" ref="H156" si="37">SUM(B156:F156)-1</f>
        <v>116</v>
      </c>
      <c r="I156" s="7">
        <f>(600-G156-1)/600</f>
        <v>0.88</v>
      </c>
      <c r="J156" s="3">
        <v>1449.9</v>
      </c>
      <c r="K156" s="3">
        <f>_xlfn.IFNA(VLOOKUP(CONCATENATE("s.rule",A156,".tar.gz"),Sheet1!A:F,5,0),"")</f>
        <v>1464.7</v>
      </c>
      <c r="L156" s="2">
        <f t="shared" si="28"/>
        <v>14.799999999999955</v>
      </c>
    </row>
    <row r="157" spans="1:12" s="2" customFormat="1" x14ac:dyDescent="0.3">
      <c r="A157" s="8" t="s">
        <v>137</v>
      </c>
      <c r="B157" s="2">
        <v>2</v>
      </c>
      <c r="C157" s="10">
        <v>25</v>
      </c>
      <c r="D157" s="10">
        <v>20</v>
      </c>
      <c r="E157" s="10">
        <v>22</v>
      </c>
      <c r="F157" s="10">
        <v>46</v>
      </c>
      <c r="G157" s="2">
        <f t="shared" ref="G157" si="38">SUM(B157:E157)</f>
        <v>69</v>
      </c>
      <c r="H157" s="2">
        <f t="shared" ref="H157" si="39">SUM(B157:F157)-1</f>
        <v>114</v>
      </c>
      <c r="I157" s="7">
        <f>(600-G157-1)/600</f>
        <v>0.8833333333333333</v>
      </c>
      <c r="J157" s="3">
        <v>1507.4</v>
      </c>
      <c r="K157" s="3">
        <f>_xlfn.IFNA(VLOOKUP(CONCATENATE("s.rule",A157,".tar.gz"),Sheet1!A:F,5,0),"")</f>
        <v>1515.2</v>
      </c>
      <c r="L157" s="2">
        <f t="shared" si="28"/>
        <v>7.7999999999999545</v>
      </c>
    </row>
    <row r="158" spans="1:12" s="2" customFormat="1" x14ac:dyDescent="0.3">
      <c r="A158" s="8">
        <v>522</v>
      </c>
      <c r="B158" s="2">
        <v>2</v>
      </c>
      <c r="C158" s="10">
        <v>25</v>
      </c>
      <c r="D158" s="10">
        <v>20</v>
      </c>
      <c r="E158" s="10">
        <v>23</v>
      </c>
      <c r="F158" s="10">
        <v>46</v>
      </c>
      <c r="G158" s="2">
        <f t="shared" ref="G158" si="40">SUM(B158:E158)</f>
        <v>70</v>
      </c>
      <c r="H158" s="2">
        <f t="shared" ref="H158" si="41">SUM(B158:F158)-1</f>
        <v>115</v>
      </c>
      <c r="I158" s="7">
        <f>(600-G158-1)/600</f>
        <v>0.88166666666666671</v>
      </c>
      <c r="J158" s="3">
        <v>1496.6</v>
      </c>
      <c r="K158" s="3">
        <f>_xlfn.IFNA(VLOOKUP(CONCATENATE("s.rule",A158,".tar.gz"),Sheet1!A:F,5,0),"")</f>
        <v>1512.1</v>
      </c>
      <c r="L158" s="2">
        <f t="shared" si="28"/>
        <v>15.5</v>
      </c>
    </row>
    <row r="159" spans="1:12" s="2" customFormat="1" x14ac:dyDescent="0.3">
      <c r="A159" s="4"/>
      <c r="J159" s="3"/>
      <c r="K159" s="3"/>
    </row>
    <row r="160" spans="1:12" s="2" customFormat="1" x14ac:dyDescent="0.3">
      <c r="A160" s="9" t="s">
        <v>117</v>
      </c>
      <c r="B160" s="2">
        <v>5</v>
      </c>
      <c r="C160" s="2">
        <v>41</v>
      </c>
      <c r="D160" s="2">
        <v>59</v>
      </c>
      <c r="E160" s="2">
        <v>59</v>
      </c>
      <c r="F160" s="2">
        <v>100</v>
      </c>
      <c r="G160" s="2">
        <f t="shared" ref="G160:G166" si="42">SUM(B160:E160)</f>
        <v>164</v>
      </c>
      <c r="H160" s="2">
        <f t="shared" ref="H160:H166" si="43">SUM(B160:F160)-1</f>
        <v>263</v>
      </c>
      <c r="I160" s="7">
        <f t="shared" ref="I160" si="44">(600-G160-1)/600</f>
        <v>0.72499999999999998</v>
      </c>
      <c r="J160" s="3">
        <v>1362.2</v>
      </c>
      <c r="K160" s="3">
        <f>_xlfn.IFNA(VLOOKUP(CONCATENATE("rule",A160,".tar.gz"),Sheet1!A:F,5,0),"")</f>
        <v>1380.8</v>
      </c>
      <c r="L160" s="2">
        <f t="shared" si="28"/>
        <v>18.599999999999909</v>
      </c>
    </row>
    <row r="161" spans="1:12" x14ac:dyDescent="0.3">
      <c r="A161" s="9" t="s">
        <v>113</v>
      </c>
      <c r="B161">
        <v>6</v>
      </c>
      <c r="C161">
        <v>30</v>
      </c>
      <c r="D161" s="2">
        <v>41</v>
      </c>
      <c r="E161" s="2">
        <v>43</v>
      </c>
      <c r="F161" s="2">
        <v>70</v>
      </c>
      <c r="G161" s="2">
        <f t="shared" si="42"/>
        <v>120</v>
      </c>
      <c r="H161" s="2">
        <f t="shared" si="43"/>
        <v>189</v>
      </c>
      <c r="I161" s="7">
        <f t="shared" ref="I161:I166" si="45">(600-G161-1)/600</f>
        <v>0.79833333333333334</v>
      </c>
      <c r="J161" s="3" t="s">
        <v>122</v>
      </c>
      <c r="K161" s="3" t="str">
        <f>_xlfn.IFNA(VLOOKUP(CONCATENATE("s.rule",A161,".tar.gz"),Sheet1!A:F,5,0),"")</f>
        <v/>
      </c>
    </row>
    <row r="162" spans="1:12" x14ac:dyDescent="0.3">
      <c r="A162" s="9" t="s">
        <v>114</v>
      </c>
      <c r="B162">
        <v>8</v>
      </c>
      <c r="C162">
        <v>29</v>
      </c>
      <c r="D162" s="2">
        <v>41</v>
      </c>
      <c r="E162" s="2">
        <v>40</v>
      </c>
      <c r="F162" s="2">
        <v>71</v>
      </c>
      <c r="G162" s="2">
        <f t="shared" si="42"/>
        <v>118</v>
      </c>
      <c r="H162" s="2">
        <f t="shared" si="43"/>
        <v>188</v>
      </c>
      <c r="I162" s="7">
        <f t="shared" si="45"/>
        <v>0.80166666666666664</v>
      </c>
      <c r="J162" s="3" t="s">
        <v>122</v>
      </c>
      <c r="K162" s="3" t="str">
        <f>_xlfn.IFNA(VLOOKUP(CONCATENATE("s.rule",A162,".tar.gz"),Sheet1!A:F,5,0),"")</f>
        <v/>
      </c>
    </row>
    <row r="163" spans="1:12" x14ac:dyDescent="0.3">
      <c r="A163" s="9" t="s">
        <v>115</v>
      </c>
      <c r="B163">
        <v>7</v>
      </c>
      <c r="C163">
        <v>30</v>
      </c>
      <c r="D163" s="2">
        <v>39</v>
      </c>
      <c r="E163" s="2">
        <v>43</v>
      </c>
      <c r="F163" s="2">
        <v>72</v>
      </c>
      <c r="G163" s="2">
        <f t="shared" si="42"/>
        <v>119</v>
      </c>
      <c r="H163" s="2">
        <f t="shared" si="43"/>
        <v>190</v>
      </c>
      <c r="I163" s="7">
        <f t="shared" si="45"/>
        <v>0.8</v>
      </c>
      <c r="J163" s="3" t="s">
        <v>122</v>
      </c>
      <c r="K163" s="3" t="str">
        <f>_xlfn.IFNA(VLOOKUP(CONCATENATE("s.rule",A163,".tar.gz"),Sheet1!A:F,5,0),"")</f>
        <v/>
      </c>
    </row>
    <row r="164" spans="1:12" x14ac:dyDescent="0.3">
      <c r="A164" s="9" t="s">
        <v>116</v>
      </c>
      <c r="B164">
        <v>8</v>
      </c>
      <c r="C164">
        <v>28</v>
      </c>
      <c r="D164" s="2">
        <v>35</v>
      </c>
      <c r="E164" s="2">
        <v>40</v>
      </c>
      <c r="F164" s="2">
        <v>63</v>
      </c>
      <c r="G164" s="2">
        <f t="shared" si="42"/>
        <v>111</v>
      </c>
      <c r="H164" s="2">
        <f t="shared" si="43"/>
        <v>173</v>
      </c>
      <c r="I164" s="7">
        <f t="shared" si="45"/>
        <v>0.81333333333333335</v>
      </c>
      <c r="J164" s="3">
        <v>1498.5</v>
      </c>
      <c r="K164" s="3">
        <f>_xlfn.IFNA(VLOOKUP(CONCATENATE("s.rule",A164,".tar.gz"),Sheet1!A:F,5,0),"")</f>
        <v>1484.8</v>
      </c>
      <c r="L164" s="2">
        <f t="shared" ref="L164:L166" si="46">IF(K164&lt;&gt;"",K164-J164,"")</f>
        <v>-13.700000000000045</v>
      </c>
    </row>
    <row r="165" spans="1:12" x14ac:dyDescent="0.3">
      <c r="A165" s="9" t="s">
        <v>123</v>
      </c>
      <c r="B165">
        <v>4</v>
      </c>
      <c r="C165">
        <v>16</v>
      </c>
      <c r="D165" s="2">
        <v>29</v>
      </c>
      <c r="E165" s="2">
        <v>38</v>
      </c>
      <c r="F165" s="2">
        <v>52</v>
      </c>
      <c r="G165" s="2">
        <f t="shared" si="42"/>
        <v>87</v>
      </c>
      <c r="H165" s="2">
        <f t="shared" si="43"/>
        <v>138</v>
      </c>
      <c r="I165" s="7">
        <f t="shared" si="45"/>
        <v>0.85333333333333339</v>
      </c>
      <c r="J165" s="3">
        <v>1486.6</v>
      </c>
      <c r="K165" s="3">
        <f>_xlfn.IFNA(VLOOKUP(CONCATENATE("s.rule",A165,".tar.gz"),Sheet1!A:F,5,0),"")</f>
        <v>1478.2</v>
      </c>
      <c r="L165" s="2">
        <f t="shared" si="46"/>
        <v>-8.3999999999998636</v>
      </c>
    </row>
    <row r="166" spans="1:12" x14ac:dyDescent="0.3">
      <c r="A166" s="9" t="s">
        <v>128</v>
      </c>
      <c r="B166">
        <v>8</v>
      </c>
      <c r="C166">
        <v>20</v>
      </c>
      <c r="D166" s="2">
        <v>23</v>
      </c>
      <c r="E166" s="2">
        <v>35</v>
      </c>
      <c r="F166" s="2">
        <v>54</v>
      </c>
      <c r="G166" s="2">
        <f t="shared" si="42"/>
        <v>86</v>
      </c>
      <c r="H166" s="2">
        <f t="shared" si="43"/>
        <v>139</v>
      </c>
      <c r="I166" s="7">
        <f t="shared" si="45"/>
        <v>0.85499999999999998</v>
      </c>
      <c r="J166" s="3">
        <v>1458.2</v>
      </c>
      <c r="K166" s="3">
        <f>_xlfn.IFNA(VLOOKUP(CONCATENATE("s.rule",A166,".tar.gz"),Sheet1!A:F,5,0),"")</f>
        <v>1465.7</v>
      </c>
      <c r="L166" s="2">
        <f t="shared" si="46"/>
        <v>7.5</v>
      </c>
    </row>
  </sheetData>
  <conditionalFormatting sqref="J154:J155 J156:K156 K153:K156 J158:K1048576 J1:K147">
    <cfRule type="cellIs" dxfId="48" priority="54" operator="greaterThan">
      <formula>10000</formula>
    </cfRule>
    <cfRule type="cellIs" dxfId="47" priority="55" operator="greaterThanOrEqual">
      <formula>1500</formula>
    </cfRule>
    <cfRule type="cellIs" dxfId="46" priority="56" operator="greaterThanOrEqual">
      <formula>1450</formula>
    </cfRule>
    <cfRule type="cellIs" dxfId="45" priority="57" operator="greaterThan">
      <formula>1400</formula>
    </cfRule>
  </conditionalFormatting>
  <conditionalFormatting sqref="J148:K148 J153:K153">
    <cfRule type="cellIs" dxfId="44" priority="50" operator="greaterThan">
      <formula>10000</formula>
    </cfRule>
    <cfRule type="cellIs" dxfId="43" priority="51" operator="greaterThanOrEqual">
      <formula>1500</formula>
    </cfRule>
    <cfRule type="cellIs" dxfId="42" priority="52" operator="greaterThanOrEqual">
      <formula>1450</formula>
    </cfRule>
    <cfRule type="cellIs" dxfId="41" priority="53" operator="greaterThan">
      <formula>1400</formula>
    </cfRule>
  </conditionalFormatting>
  <conditionalFormatting sqref="J153:K156 J158:K1048576 J1:K148">
    <cfRule type="cellIs" dxfId="40" priority="45" operator="greaterThan">
      <formula>10000</formula>
    </cfRule>
    <cfRule type="cellIs" dxfId="39" priority="46" operator="greaterThanOrEqual">
      <formula>1500</formula>
    </cfRule>
    <cfRule type="cellIs" dxfId="38" priority="47" operator="greaterThanOrEqual">
      <formula>1475</formula>
    </cfRule>
    <cfRule type="cellIs" dxfId="37" priority="48" operator="greaterThanOrEqual">
      <formula>1450</formula>
    </cfRule>
    <cfRule type="cellIs" dxfId="36" priority="49" operator="greaterThanOrEqual">
      <formula>1400</formula>
    </cfRule>
  </conditionalFormatting>
  <conditionalFormatting sqref="J149:J152">
    <cfRule type="cellIs" dxfId="35" priority="28" operator="greaterThan">
      <formula>10000</formula>
    </cfRule>
    <cfRule type="cellIs" dxfId="34" priority="29" operator="greaterThanOrEqual">
      <formula>1500</formula>
    </cfRule>
    <cfRule type="cellIs" dxfId="33" priority="30" operator="greaterThanOrEqual">
      <formula>1450</formula>
    </cfRule>
    <cfRule type="cellIs" dxfId="32" priority="31" operator="greaterThan">
      <formula>1400</formula>
    </cfRule>
  </conditionalFormatting>
  <conditionalFormatting sqref="J149:J152">
    <cfRule type="cellIs" dxfId="31" priority="23" operator="greaterThan">
      <formula>10000</formula>
    </cfRule>
    <cfRule type="cellIs" dxfId="30" priority="24" operator="greaterThanOrEqual">
      <formula>1500</formula>
    </cfRule>
    <cfRule type="cellIs" dxfId="29" priority="25" operator="greaterThanOrEqual">
      <formula>1475</formula>
    </cfRule>
    <cfRule type="cellIs" dxfId="28" priority="26" operator="greaterThanOrEqual">
      <formula>1450</formula>
    </cfRule>
    <cfRule type="cellIs" dxfId="27" priority="27" operator="greaterThanOrEqual">
      <formula>1400</formula>
    </cfRule>
  </conditionalFormatting>
  <conditionalFormatting sqref="J145">
    <cfRule type="cellIs" dxfId="26" priority="32" operator="greaterThan">
      <formula>10000</formula>
    </cfRule>
    <cfRule type="cellIs" dxfId="25" priority="33" operator="greaterThanOrEqual">
      <formula>1500</formula>
    </cfRule>
    <cfRule type="cellIs" dxfId="24" priority="34" operator="greaterThanOrEqual">
      <formula>1450</formula>
    </cfRule>
    <cfRule type="cellIs" dxfId="23" priority="35" operator="greaterThan">
      <formula>1400</formula>
    </cfRule>
  </conditionalFormatting>
  <conditionalFormatting sqref="K149:K152">
    <cfRule type="cellIs" dxfId="22" priority="19" operator="greaterThan">
      <formula>10000</formula>
    </cfRule>
    <cfRule type="cellIs" dxfId="21" priority="20" operator="greaterThanOrEqual">
      <formula>1500</formula>
    </cfRule>
    <cfRule type="cellIs" dxfId="20" priority="21" operator="greaterThanOrEqual">
      <formula>1450</formula>
    </cfRule>
    <cfRule type="cellIs" dxfId="19" priority="22" operator="greaterThan">
      <formula>1400</formula>
    </cfRule>
  </conditionalFormatting>
  <conditionalFormatting sqref="K149:K152">
    <cfRule type="cellIs" dxfId="18" priority="14" operator="greaterThan">
      <formula>10000</formula>
    </cfRule>
    <cfRule type="cellIs" dxfId="17" priority="15" operator="greaterThanOrEqual">
      <formula>1500</formula>
    </cfRule>
    <cfRule type="cellIs" dxfId="16" priority="16" operator="greaterThanOrEqual">
      <formula>1475</formula>
    </cfRule>
    <cfRule type="cellIs" dxfId="15" priority="17" operator="greaterThanOrEqual">
      <formula>1450</formula>
    </cfRule>
    <cfRule type="cellIs" dxfId="14" priority="18" operator="greaterThanOrEqual">
      <formula>1400</formula>
    </cfRule>
  </conditionalFormatting>
  <conditionalFormatting sqref="K145">
    <cfRule type="cellIs" dxfId="13" priority="10" operator="greaterThan">
      <formula>10000</formula>
    </cfRule>
    <cfRule type="cellIs" dxfId="12" priority="11" operator="greaterThanOrEqual">
      <formula>1500</formula>
    </cfRule>
    <cfRule type="cellIs" dxfId="11" priority="12" operator="greaterThanOrEqual">
      <formula>1450</formula>
    </cfRule>
    <cfRule type="cellIs" dxfId="10" priority="13" operator="greaterThan">
      <formula>1400</formula>
    </cfRule>
  </conditionalFormatting>
  <conditionalFormatting sqref="J157:K157">
    <cfRule type="cellIs" dxfId="9" priority="6" operator="greaterThan">
      <formula>10000</formula>
    </cfRule>
    <cfRule type="cellIs" dxfId="8" priority="7" operator="greaterThanOrEqual">
      <formula>1500</formula>
    </cfRule>
    <cfRule type="cellIs" dxfId="7" priority="8" operator="greaterThanOrEqual">
      <formula>1450</formula>
    </cfRule>
    <cfRule type="cellIs" dxfId="6" priority="9" operator="greaterThan">
      <formula>1400</formula>
    </cfRule>
  </conditionalFormatting>
  <conditionalFormatting sqref="J157:K157">
    <cfRule type="cellIs" dxfId="5" priority="1" operator="greaterThan">
      <formula>10000</formula>
    </cfRule>
    <cfRule type="cellIs" dxfId="4" priority="2" operator="greaterThanOrEqual">
      <formula>1500</formula>
    </cfRule>
    <cfRule type="cellIs" dxfId="3" priority="3" operator="greaterThanOrEqual">
      <formula>1475</formula>
    </cfRule>
    <cfRule type="cellIs" dxfId="2" priority="4" operator="greaterThanOrEqual">
      <formula>1450</formula>
    </cfRule>
    <cfRule type="cellIs" dxfId="1" priority="5" operator="greaterThanOrEqual">
      <formula>1400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a">
          <controlPr defaultSize="0" autoLine="0" r:id="rId5">
            <anchor moveWithCells="1">
              <from>
                <xdr:col>13</xdr:col>
                <xdr:colOff>30480</xdr:colOff>
                <xdr:row>160</xdr:row>
                <xdr:rowOff>7620</xdr:rowOff>
              </from>
              <to>
                <xdr:col>14</xdr:col>
                <xdr:colOff>335280</xdr:colOff>
                <xdr:row>161</xdr:row>
                <xdr:rowOff>129540</xdr:rowOff>
              </to>
            </anchor>
          </controlPr>
        </control>
      </mc:Choice>
      <mc:Fallback>
        <control shapeId="1026" r:id="rId4" name="a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E0327-29BA-4FC0-9F83-AAD3379CE9B9}">
  <sheetPr codeName="Sheet4"/>
  <dimension ref="A1:F95"/>
  <sheetViews>
    <sheetView tabSelected="1" workbookViewId="0">
      <selection activeCell="N10" sqref="N10"/>
    </sheetView>
  </sheetViews>
  <sheetFormatPr defaultRowHeight="14.4" x14ac:dyDescent="0.3"/>
  <cols>
    <col min="1" max="1" width="16.44140625" customWidth="1"/>
    <col min="2" max="2" width="20" customWidth="1"/>
    <col min="5" max="5" width="17.21875" style="6" customWidth="1"/>
  </cols>
  <sheetData>
    <row r="1" spans="1:6" x14ac:dyDescent="0.3">
      <c r="A1" t="s">
        <v>51</v>
      </c>
      <c r="B1" t="s">
        <v>52</v>
      </c>
      <c r="C1" t="s">
        <v>53</v>
      </c>
      <c r="D1" t="s">
        <v>54</v>
      </c>
      <c r="E1" s="6" t="s">
        <v>55</v>
      </c>
      <c r="F1" t="s">
        <v>56</v>
      </c>
    </row>
    <row r="2" spans="1:6" x14ac:dyDescent="0.3">
      <c r="A2" t="s">
        <v>129</v>
      </c>
      <c r="B2" s="5">
        <v>44500.827696759261</v>
      </c>
      <c r="C2" t="s">
        <v>57</v>
      </c>
      <c r="D2" t="s">
        <v>58</v>
      </c>
      <c r="E2" s="2">
        <v>1556</v>
      </c>
      <c r="F2" t="s">
        <v>57</v>
      </c>
    </row>
    <row r="3" spans="1:6" x14ac:dyDescent="0.3">
      <c r="A3" t="s">
        <v>124</v>
      </c>
      <c r="B3" s="5">
        <v>44500.470682870371</v>
      </c>
      <c r="C3" t="s">
        <v>57</v>
      </c>
      <c r="D3" t="s">
        <v>58</v>
      </c>
      <c r="E3" s="2">
        <v>1547.1</v>
      </c>
      <c r="F3" t="s">
        <v>57</v>
      </c>
    </row>
    <row r="4" spans="1:6" x14ac:dyDescent="0.3">
      <c r="A4" t="s">
        <v>120</v>
      </c>
      <c r="B4" s="5">
        <v>44499.970196759263</v>
      </c>
      <c r="C4" t="s">
        <v>57</v>
      </c>
      <c r="D4" t="s">
        <v>58</v>
      </c>
      <c r="E4" s="2">
        <v>1544.5</v>
      </c>
      <c r="F4" t="s">
        <v>57</v>
      </c>
    </row>
    <row r="5" spans="1:6" x14ac:dyDescent="0.3">
      <c r="A5" t="s">
        <v>139</v>
      </c>
      <c r="B5" s="5">
        <v>44501.850497685184</v>
      </c>
      <c r="C5" t="s">
        <v>57</v>
      </c>
      <c r="D5" t="s">
        <v>58</v>
      </c>
      <c r="E5" s="2">
        <v>1539.6</v>
      </c>
      <c r="F5" t="s">
        <v>57</v>
      </c>
    </row>
    <row r="6" spans="1:6" x14ac:dyDescent="0.3">
      <c r="A6" t="s">
        <v>142</v>
      </c>
      <c r="B6" s="5">
        <v>44501.911516203705</v>
      </c>
      <c r="C6" t="s">
        <v>57</v>
      </c>
      <c r="D6" t="s">
        <v>58</v>
      </c>
      <c r="E6" s="2">
        <v>1539.3</v>
      </c>
      <c r="F6" t="s">
        <v>57</v>
      </c>
    </row>
    <row r="7" spans="1:6" x14ac:dyDescent="0.3">
      <c r="A7" t="s">
        <v>138</v>
      </c>
      <c r="B7" s="5">
        <v>44501.870879629627</v>
      </c>
      <c r="C7" t="s">
        <v>57</v>
      </c>
      <c r="D7" t="s">
        <v>58</v>
      </c>
      <c r="E7" s="2">
        <v>1515.2</v>
      </c>
      <c r="F7" t="s">
        <v>57</v>
      </c>
    </row>
    <row r="8" spans="1:6" x14ac:dyDescent="0.3">
      <c r="A8" t="s">
        <v>119</v>
      </c>
      <c r="B8" s="5">
        <v>44499.97320601852</v>
      </c>
      <c r="C8" t="s">
        <v>57</v>
      </c>
      <c r="D8" t="s">
        <v>58</v>
      </c>
      <c r="E8" s="2">
        <v>1515.1</v>
      </c>
      <c r="F8" t="s">
        <v>57</v>
      </c>
    </row>
    <row r="9" spans="1:6" x14ac:dyDescent="0.3">
      <c r="A9" t="s">
        <v>144</v>
      </c>
      <c r="B9" s="5">
        <v>44502.654537037037</v>
      </c>
      <c r="C9" t="s">
        <v>57</v>
      </c>
      <c r="D9" t="s">
        <v>58</v>
      </c>
      <c r="E9" s="2">
        <v>1512.1</v>
      </c>
      <c r="F9" t="s">
        <v>57</v>
      </c>
    </row>
    <row r="10" spans="1:6" x14ac:dyDescent="0.3">
      <c r="A10" t="s">
        <v>144</v>
      </c>
      <c r="B10" s="5">
        <v>44503.895995370367</v>
      </c>
      <c r="C10" t="s">
        <v>57</v>
      </c>
      <c r="D10" t="s">
        <v>58</v>
      </c>
      <c r="E10" s="6">
        <v>1497.1</v>
      </c>
      <c r="F10" t="s">
        <v>57</v>
      </c>
    </row>
    <row r="11" spans="1:6" x14ac:dyDescent="0.3">
      <c r="A11" t="s">
        <v>127</v>
      </c>
      <c r="B11" s="5">
        <v>44500.624722222223</v>
      </c>
      <c r="C11" t="s">
        <v>57</v>
      </c>
      <c r="D11" t="s">
        <v>58</v>
      </c>
      <c r="E11">
        <v>1487.6</v>
      </c>
      <c r="F11" t="s">
        <v>57</v>
      </c>
    </row>
    <row r="12" spans="1:6" x14ac:dyDescent="0.3">
      <c r="A12" t="s">
        <v>105</v>
      </c>
      <c r="B12" s="5">
        <v>44498.589004629626</v>
      </c>
      <c r="C12" t="s">
        <v>57</v>
      </c>
      <c r="D12" t="s">
        <v>58</v>
      </c>
      <c r="E12">
        <v>1487</v>
      </c>
      <c r="F12" t="s">
        <v>57</v>
      </c>
    </row>
    <row r="13" spans="1:6" x14ac:dyDescent="0.3">
      <c r="A13" t="s">
        <v>121</v>
      </c>
      <c r="B13" s="5">
        <v>44499.967905092592</v>
      </c>
      <c r="C13" t="s">
        <v>57</v>
      </c>
      <c r="D13" t="s">
        <v>58</v>
      </c>
      <c r="E13" s="6">
        <v>1484.8</v>
      </c>
      <c r="F13" t="s">
        <v>57</v>
      </c>
    </row>
    <row r="14" spans="1:6" x14ac:dyDescent="0.3">
      <c r="A14" t="s">
        <v>112</v>
      </c>
      <c r="B14" s="5">
        <v>44499.40347222222</v>
      </c>
      <c r="C14" t="s">
        <v>57</v>
      </c>
      <c r="D14" t="s">
        <v>58</v>
      </c>
      <c r="E14" s="6">
        <v>1480.4</v>
      </c>
      <c r="F14" t="s">
        <v>57</v>
      </c>
    </row>
    <row r="15" spans="1:6" x14ac:dyDescent="0.3">
      <c r="A15" t="s">
        <v>104</v>
      </c>
      <c r="B15" s="5">
        <v>44498.3672337963</v>
      </c>
      <c r="C15" t="s">
        <v>57</v>
      </c>
      <c r="D15" t="s">
        <v>58</v>
      </c>
      <c r="E15" s="6">
        <v>1478.7</v>
      </c>
      <c r="F15" t="s">
        <v>57</v>
      </c>
    </row>
    <row r="16" spans="1:6" x14ac:dyDescent="0.3">
      <c r="A16" t="s">
        <v>125</v>
      </c>
      <c r="B16" s="5">
        <v>44500.567442129628</v>
      </c>
      <c r="C16" t="s">
        <v>57</v>
      </c>
      <c r="D16" t="s">
        <v>58</v>
      </c>
      <c r="E16">
        <v>1478.2</v>
      </c>
      <c r="F16" t="s">
        <v>57</v>
      </c>
    </row>
    <row r="17" spans="1:6" x14ac:dyDescent="0.3">
      <c r="A17" t="s">
        <v>139</v>
      </c>
      <c r="B17" s="5">
        <v>44503.88553240741</v>
      </c>
      <c r="C17" t="s">
        <v>57</v>
      </c>
      <c r="D17" t="s">
        <v>58</v>
      </c>
      <c r="E17">
        <v>1476.5</v>
      </c>
      <c r="F17" t="s">
        <v>57</v>
      </c>
    </row>
    <row r="18" spans="1:6" x14ac:dyDescent="0.3">
      <c r="A18" t="s">
        <v>129</v>
      </c>
      <c r="B18" s="5">
        <v>44503.888749999998</v>
      </c>
      <c r="C18" t="s">
        <v>57</v>
      </c>
      <c r="D18" t="s">
        <v>58</v>
      </c>
      <c r="E18">
        <v>1472.5</v>
      </c>
      <c r="F18" t="s">
        <v>57</v>
      </c>
    </row>
    <row r="19" spans="1:6" x14ac:dyDescent="0.3">
      <c r="A19" t="s">
        <v>141</v>
      </c>
      <c r="B19" s="5">
        <v>44501.905775462961</v>
      </c>
      <c r="C19" t="s">
        <v>57</v>
      </c>
      <c r="D19" t="s">
        <v>58</v>
      </c>
      <c r="E19" s="2">
        <v>1470.4</v>
      </c>
      <c r="F19" t="s">
        <v>57</v>
      </c>
    </row>
    <row r="20" spans="1:6" x14ac:dyDescent="0.3">
      <c r="A20" t="s">
        <v>98</v>
      </c>
      <c r="B20" s="5">
        <v>44494.395150462966</v>
      </c>
      <c r="C20" t="s">
        <v>57</v>
      </c>
      <c r="D20" t="s">
        <v>58</v>
      </c>
      <c r="E20" s="6">
        <v>1466</v>
      </c>
      <c r="F20" t="s">
        <v>57</v>
      </c>
    </row>
    <row r="21" spans="1:6" x14ac:dyDescent="0.3">
      <c r="A21" t="s">
        <v>135</v>
      </c>
      <c r="B21" s="5">
        <v>44500.901273148149</v>
      </c>
      <c r="C21" t="s">
        <v>57</v>
      </c>
      <c r="D21" t="s">
        <v>58</v>
      </c>
      <c r="E21" s="2">
        <v>1465.7</v>
      </c>
      <c r="F21" t="s">
        <v>57</v>
      </c>
    </row>
    <row r="22" spans="1:6" x14ac:dyDescent="0.3">
      <c r="A22" t="s">
        <v>134</v>
      </c>
      <c r="B22" s="5">
        <v>44501.282349537039</v>
      </c>
      <c r="C22" t="s">
        <v>57</v>
      </c>
      <c r="D22" t="s">
        <v>58</v>
      </c>
      <c r="E22" s="2">
        <v>1464.7</v>
      </c>
      <c r="F22" t="s">
        <v>57</v>
      </c>
    </row>
    <row r="23" spans="1:6" x14ac:dyDescent="0.3">
      <c r="A23" t="s">
        <v>138</v>
      </c>
      <c r="B23" s="5">
        <v>44503.893784722219</v>
      </c>
      <c r="C23" t="s">
        <v>57</v>
      </c>
      <c r="D23" t="s">
        <v>58</v>
      </c>
      <c r="E23" s="2">
        <v>1461.7</v>
      </c>
      <c r="F23" t="s">
        <v>57</v>
      </c>
    </row>
    <row r="24" spans="1:6" x14ac:dyDescent="0.3">
      <c r="A24" t="s">
        <v>134</v>
      </c>
      <c r="B24" s="5">
        <v>44503.891388888886</v>
      </c>
      <c r="C24" t="s">
        <v>57</v>
      </c>
      <c r="D24" t="s">
        <v>58</v>
      </c>
      <c r="E24">
        <v>1456.8</v>
      </c>
      <c r="F24" t="s">
        <v>57</v>
      </c>
    </row>
    <row r="25" spans="1:6" x14ac:dyDescent="0.3">
      <c r="A25" t="s">
        <v>85</v>
      </c>
      <c r="B25" s="5">
        <v>44497.65042824074</v>
      </c>
      <c r="C25" t="s">
        <v>57</v>
      </c>
      <c r="D25" t="s">
        <v>58</v>
      </c>
      <c r="E25" s="2">
        <v>1456.1</v>
      </c>
      <c r="F25" t="s">
        <v>57</v>
      </c>
    </row>
    <row r="26" spans="1:6" x14ac:dyDescent="0.3">
      <c r="A26" t="s">
        <v>83</v>
      </c>
      <c r="B26" s="5">
        <v>44497.817789351851</v>
      </c>
      <c r="C26" t="s">
        <v>57</v>
      </c>
      <c r="D26" t="s">
        <v>58</v>
      </c>
      <c r="E26" s="2">
        <v>1455.4</v>
      </c>
      <c r="F26" t="s">
        <v>57</v>
      </c>
    </row>
    <row r="27" spans="1:6" x14ac:dyDescent="0.3">
      <c r="A27" t="s">
        <v>103</v>
      </c>
      <c r="B27" s="5">
        <v>44498.287812499999</v>
      </c>
      <c r="C27" t="s">
        <v>57</v>
      </c>
      <c r="D27" t="s">
        <v>58</v>
      </c>
      <c r="E27">
        <v>1450.7</v>
      </c>
      <c r="F27" t="s">
        <v>57</v>
      </c>
    </row>
    <row r="28" spans="1:6" x14ac:dyDescent="0.3">
      <c r="A28" t="s">
        <v>101</v>
      </c>
      <c r="B28" s="5">
        <v>44497.889444444445</v>
      </c>
      <c r="C28" t="s">
        <v>57</v>
      </c>
      <c r="D28" t="s">
        <v>58</v>
      </c>
      <c r="E28">
        <v>1443.8</v>
      </c>
      <c r="F28" t="s">
        <v>57</v>
      </c>
    </row>
    <row r="29" spans="1:6" x14ac:dyDescent="0.3">
      <c r="A29" t="s">
        <v>93</v>
      </c>
      <c r="B29" s="5">
        <v>44495.755694444444</v>
      </c>
      <c r="C29" t="s">
        <v>57</v>
      </c>
      <c r="D29" t="s">
        <v>58</v>
      </c>
      <c r="E29" s="6">
        <v>1442.7</v>
      </c>
      <c r="F29" t="s">
        <v>57</v>
      </c>
    </row>
    <row r="30" spans="1:6" x14ac:dyDescent="0.3">
      <c r="A30" t="s">
        <v>88</v>
      </c>
      <c r="B30" s="5">
        <v>44496.732256944444</v>
      </c>
      <c r="C30" t="s">
        <v>57</v>
      </c>
      <c r="D30" t="s">
        <v>58</v>
      </c>
      <c r="E30">
        <v>1441.2</v>
      </c>
      <c r="F30" t="s">
        <v>57</v>
      </c>
    </row>
    <row r="31" spans="1:6" x14ac:dyDescent="0.3">
      <c r="A31" t="s">
        <v>102</v>
      </c>
      <c r="B31" s="5">
        <v>44497.885810185187</v>
      </c>
      <c r="C31" t="s">
        <v>57</v>
      </c>
      <c r="D31" t="s">
        <v>58</v>
      </c>
      <c r="E31">
        <v>1440.2</v>
      </c>
      <c r="F31" t="s">
        <v>57</v>
      </c>
    </row>
    <row r="32" spans="1:6" x14ac:dyDescent="0.3">
      <c r="A32" t="s">
        <v>107</v>
      </c>
      <c r="B32" s="5">
        <v>44498.714548611111</v>
      </c>
      <c r="C32" t="s">
        <v>57</v>
      </c>
      <c r="D32" t="s">
        <v>58</v>
      </c>
      <c r="E32">
        <v>1439</v>
      </c>
      <c r="F32" t="s">
        <v>57</v>
      </c>
    </row>
    <row r="33" spans="1:6" x14ac:dyDescent="0.3">
      <c r="A33" t="s">
        <v>84</v>
      </c>
      <c r="B33" s="5">
        <v>44497.81659722222</v>
      </c>
      <c r="C33" t="s">
        <v>57</v>
      </c>
      <c r="D33" t="s">
        <v>58</v>
      </c>
      <c r="E33">
        <v>1430.8</v>
      </c>
      <c r="F33" t="s">
        <v>57</v>
      </c>
    </row>
    <row r="34" spans="1:6" x14ac:dyDescent="0.3">
      <c r="A34" t="s">
        <v>89</v>
      </c>
      <c r="B34" s="5">
        <v>44496.43891203704</v>
      </c>
      <c r="C34" t="s">
        <v>57</v>
      </c>
      <c r="D34" t="s">
        <v>58</v>
      </c>
      <c r="E34">
        <v>1428.6</v>
      </c>
      <c r="F34" t="s">
        <v>57</v>
      </c>
    </row>
    <row r="35" spans="1:6" x14ac:dyDescent="0.3">
      <c r="A35" t="s">
        <v>94</v>
      </c>
      <c r="B35" s="5">
        <v>44495.67260416667</v>
      </c>
      <c r="C35" t="s">
        <v>57</v>
      </c>
      <c r="D35" t="s">
        <v>58</v>
      </c>
      <c r="E35" s="6">
        <v>1427.6</v>
      </c>
      <c r="F35" t="s">
        <v>57</v>
      </c>
    </row>
    <row r="36" spans="1:6" x14ac:dyDescent="0.3">
      <c r="A36" t="s">
        <v>92</v>
      </c>
      <c r="B36" s="5">
        <v>44495.775821759256</v>
      </c>
      <c r="C36" t="s">
        <v>57</v>
      </c>
      <c r="D36" t="s">
        <v>58</v>
      </c>
      <c r="E36">
        <v>1425.4</v>
      </c>
      <c r="F36" t="s">
        <v>57</v>
      </c>
    </row>
    <row r="37" spans="1:6" x14ac:dyDescent="0.3">
      <c r="A37" t="s">
        <v>86</v>
      </c>
      <c r="B37" s="5">
        <v>44496.893194444441</v>
      </c>
      <c r="C37" t="s">
        <v>57</v>
      </c>
      <c r="D37" t="s">
        <v>58</v>
      </c>
      <c r="E37">
        <v>1424.9</v>
      </c>
      <c r="F37" t="s">
        <v>57</v>
      </c>
    </row>
    <row r="38" spans="1:6" x14ac:dyDescent="0.3">
      <c r="A38" t="s">
        <v>87</v>
      </c>
      <c r="B38" s="5">
        <v>44496.88</v>
      </c>
      <c r="C38" t="s">
        <v>57</v>
      </c>
      <c r="D38" t="s">
        <v>58</v>
      </c>
      <c r="E38">
        <v>1413.2</v>
      </c>
      <c r="F38" t="s">
        <v>57</v>
      </c>
    </row>
    <row r="39" spans="1:6" x14ac:dyDescent="0.3">
      <c r="A39" t="s">
        <v>90</v>
      </c>
      <c r="B39" s="5">
        <v>44496.386307870373</v>
      </c>
      <c r="C39" t="s">
        <v>57</v>
      </c>
      <c r="D39" t="s">
        <v>58</v>
      </c>
      <c r="E39" s="2">
        <v>1412.7</v>
      </c>
      <c r="F39" t="s">
        <v>57</v>
      </c>
    </row>
    <row r="40" spans="1:6" x14ac:dyDescent="0.3">
      <c r="A40" t="s">
        <v>95</v>
      </c>
      <c r="B40" s="5">
        <v>44494.845196759263</v>
      </c>
      <c r="C40" t="s">
        <v>57</v>
      </c>
      <c r="D40" t="s">
        <v>58</v>
      </c>
      <c r="E40" s="6">
        <v>1410.5</v>
      </c>
      <c r="F40" t="s">
        <v>57</v>
      </c>
    </row>
    <row r="41" spans="1:6" x14ac:dyDescent="0.3">
      <c r="A41" t="s">
        <v>91</v>
      </c>
      <c r="B41" s="5">
        <v>44495.902719907404</v>
      </c>
      <c r="C41" t="s">
        <v>57</v>
      </c>
      <c r="D41" t="s">
        <v>58</v>
      </c>
      <c r="E41" s="2">
        <v>1409.5</v>
      </c>
      <c r="F41" t="s">
        <v>57</v>
      </c>
    </row>
    <row r="42" spans="1:6" x14ac:dyDescent="0.3">
      <c r="A42" t="s">
        <v>108</v>
      </c>
      <c r="B42" s="5">
        <v>44498.831886574073</v>
      </c>
      <c r="C42" t="s">
        <v>57</v>
      </c>
      <c r="D42" t="s">
        <v>58</v>
      </c>
      <c r="E42" s="6">
        <v>1403.4</v>
      </c>
      <c r="F42" t="s">
        <v>57</v>
      </c>
    </row>
    <row r="43" spans="1:6" x14ac:dyDescent="0.3">
      <c r="A43" t="s">
        <v>93</v>
      </c>
      <c r="B43" s="5">
        <v>44495.674085648148</v>
      </c>
      <c r="C43" t="s">
        <v>57</v>
      </c>
      <c r="D43" t="s">
        <v>58</v>
      </c>
      <c r="E43" s="6">
        <v>1399.3</v>
      </c>
      <c r="F43" t="s">
        <v>57</v>
      </c>
    </row>
    <row r="44" spans="1:6" x14ac:dyDescent="0.3">
      <c r="A44" t="s">
        <v>118</v>
      </c>
      <c r="B44" s="5">
        <v>44499.948564814818</v>
      </c>
      <c r="C44" t="s">
        <v>57</v>
      </c>
      <c r="D44" t="s">
        <v>58</v>
      </c>
      <c r="E44" s="6">
        <v>1380.8</v>
      </c>
      <c r="F44" t="s">
        <v>57</v>
      </c>
    </row>
    <row r="45" spans="1:6" x14ac:dyDescent="0.3">
      <c r="A45" t="s">
        <v>97</v>
      </c>
      <c r="B45" s="5">
        <v>44494.840624999997</v>
      </c>
      <c r="C45" t="s">
        <v>57</v>
      </c>
      <c r="D45" t="s">
        <v>58</v>
      </c>
      <c r="E45" s="2">
        <v>1373.6</v>
      </c>
      <c r="F45" t="s">
        <v>57</v>
      </c>
    </row>
    <row r="46" spans="1:6" x14ac:dyDescent="0.3">
      <c r="A46" t="s">
        <v>96</v>
      </c>
      <c r="B46" s="5">
        <v>44494.84138888889</v>
      </c>
      <c r="C46" t="s">
        <v>57</v>
      </c>
      <c r="D46" t="s">
        <v>58</v>
      </c>
      <c r="E46" s="2">
        <v>1359.7</v>
      </c>
      <c r="F46" t="s">
        <v>57</v>
      </c>
    </row>
    <row r="47" spans="1:6" x14ac:dyDescent="0.3">
      <c r="E47"/>
    </row>
    <row r="48" spans="1:6" x14ac:dyDescent="0.3">
      <c r="B48" s="2"/>
      <c r="E48" s="2"/>
    </row>
    <row r="49" spans="2:5" x14ac:dyDescent="0.3">
      <c r="B49" s="2"/>
      <c r="E49"/>
    </row>
    <row r="50" spans="2:5" x14ac:dyDescent="0.3">
      <c r="B50" s="2"/>
      <c r="E50"/>
    </row>
    <row r="51" spans="2:5" x14ac:dyDescent="0.3">
      <c r="B51" s="2"/>
      <c r="E51" s="2"/>
    </row>
    <row r="53" spans="2:5" x14ac:dyDescent="0.3">
      <c r="B53" s="5"/>
    </row>
    <row r="55" spans="2:5" x14ac:dyDescent="0.3">
      <c r="B55" s="5"/>
    </row>
    <row r="57" spans="2:5" x14ac:dyDescent="0.3">
      <c r="B57" s="5"/>
    </row>
    <row r="59" spans="2:5" x14ac:dyDescent="0.3">
      <c r="B59" s="5"/>
    </row>
    <row r="61" spans="2:5" x14ac:dyDescent="0.3">
      <c r="B61" s="5"/>
    </row>
    <row r="63" spans="2:5" x14ac:dyDescent="0.3">
      <c r="B63" s="5"/>
    </row>
    <row r="65" spans="2:2" x14ac:dyDescent="0.3">
      <c r="B65" s="5"/>
    </row>
    <row r="67" spans="2:2" x14ac:dyDescent="0.3">
      <c r="B67" s="5"/>
    </row>
    <row r="69" spans="2:2" x14ac:dyDescent="0.3">
      <c r="B69" s="5"/>
    </row>
    <row r="71" spans="2:2" x14ac:dyDescent="0.3">
      <c r="B71" s="5"/>
    </row>
    <row r="73" spans="2:2" x14ac:dyDescent="0.3">
      <c r="B73" s="5"/>
    </row>
    <row r="75" spans="2:2" x14ac:dyDescent="0.3">
      <c r="B75" s="5"/>
    </row>
    <row r="77" spans="2:2" x14ac:dyDescent="0.3">
      <c r="B77" s="5"/>
    </row>
    <row r="79" spans="2:2" x14ac:dyDescent="0.3">
      <c r="B79" s="5"/>
    </row>
    <row r="81" spans="2:2" x14ac:dyDescent="0.3">
      <c r="B81" s="5"/>
    </row>
    <row r="83" spans="2:2" x14ac:dyDescent="0.3">
      <c r="B83" s="5"/>
    </row>
    <row r="85" spans="2:2" x14ac:dyDescent="0.3">
      <c r="B85" s="5"/>
    </row>
    <row r="87" spans="2:2" x14ac:dyDescent="0.3">
      <c r="B87" s="5"/>
    </row>
    <row r="89" spans="2:2" x14ac:dyDescent="0.3">
      <c r="B89" s="5"/>
    </row>
    <row r="91" spans="2:2" x14ac:dyDescent="0.3">
      <c r="B91" s="5"/>
    </row>
    <row r="93" spans="2:2" x14ac:dyDescent="0.3">
      <c r="B93" s="5"/>
    </row>
    <row r="95" spans="2:2" x14ac:dyDescent="0.3">
      <c r="B95" s="5"/>
    </row>
  </sheetData>
  <sortState xmlns:xlrd2="http://schemas.microsoft.com/office/spreadsheetml/2017/richdata2" ref="A2:F97">
    <sortCondition descending="1" ref="E1:E97"/>
  </sortState>
  <conditionalFormatting sqref="A1:A1048576">
    <cfRule type="duplicateValues" dxfId="0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BEF88-9581-476F-9A82-89B7867E6C1B}">
  <sheetPr codeName="Sheet5"/>
  <dimension ref="A1:B2"/>
  <sheetViews>
    <sheetView workbookViewId="0">
      <selection activeCell="L19" sqref="L19"/>
    </sheetView>
  </sheetViews>
  <sheetFormatPr defaultRowHeight="14.4" x14ac:dyDescent="0.3"/>
  <cols>
    <col min="2" max="2" width="23.5546875" customWidth="1"/>
  </cols>
  <sheetData>
    <row r="1" spans="1:2" x14ac:dyDescent="0.3">
      <c r="A1" t="s">
        <v>99</v>
      </c>
    </row>
    <row r="2" spans="1:2" x14ac:dyDescent="0.3">
      <c r="B2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light</vt:lpstr>
      <vt:lpstr>imitate</vt:lpstr>
      <vt:lpstr>summary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vito</dc:creator>
  <cp:lastModifiedBy>vito</cp:lastModifiedBy>
  <dcterms:created xsi:type="dcterms:W3CDTF">2015-06-05T18:17:20Z</dcterms:created>
  <dcterms:modified xsi:type="dcterms:W3CDTF">2021-11-04T16:58:31Z</dcterms:modified>
</cp:coreProperties>
</file>