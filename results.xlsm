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\luxai\simple\"/>
    </mc:Choice>
  </mc:AlternateContent>
  <xr:revisionPtr revIDLastSave="0" documentId="13_ncr:1_{505A2A28-13CD-4786-B280-8453AA758024}" xr6:coauthVersionLast="47" xr6:coauthVersionMax="47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light" sheetId="1" r:id="rId1"/>
    <sheet name="summary" sheetId="3" r:id="rId2"/>
    <sheet name="Sheet1" sheetId="5" r:id="rId3"/>
    <sheet name="Sheet2" sheetId="6" r:id="rId4"/>
    <sheet name="Sheet3" sheetId="7" r:id="rId5"/>
    <sheet name="Sheet4" sheetId="8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43" i="3" l="1"/>
  <c r="L242" i="3"/>
  <c r="L241" i="3"/>
  <c r="J243" i="3"/>
  <c r="I243" i="3" a="1"/>
  <c r="I243" i="3" s="1"/>
  <c r="J242" i="3"/>
  <c r="I242" i="3" a="1"/>
  <c r="I242" i="3" s="1"/>
  <c r="J241" i="3"/>
  <c r="I241" i="3" a="1"/>
  <c r="I241" i="3" s="1"/>
  <c r="K244" i="3"/>
  <c r="K243" i="3"/>
  <c r="K242" i="3"/>
  <c r="K241" i="3"/>
  <c r="G241" i="3" l="1"/>
  <c r="F241" i="3"/>
  <c r="F227" i="3"/>
  <c r="K231" i="3"/>
  <c r="J231" i="3"/>
  <c r="I231" i="3" a="1"/>
  <c r="I231" i="3" s="1"/>
  <c r="L231" i="3" s="1"/>
  <c r="K240" i="3"/>
  <c r="J240" i="3"/>
  <c r="I240" i="3" a="1"/>
  <c r="I240" i="3" s="1"/>
  <c r="L240" i="3" s="1"/>
  <c r="F228" i="3"/>
  <c r="F232" i="3"/>
  <c r="G232" i="3" s="1"/>
  <c r="F231" i="3"/>
  <c r="G231" i="3" s="1"/>
  <c r="F229" i="3"/>
  <c r="G229" i="3" s="1"/>
  <c r="F240" i="3" l="1"/>
  <c r="G240" i="3" s="1"/>
  <c r="F238" i="3"/>
  <c r="G238" i="3" s="1"/>
  <c r="K238" i="3" l="1"/>
  <c r="J238" i="3"/>
  <c r="I238" i="3" a="1"/>
  <c r="I238" i="3" s="1"/>
  <c r="L238" i="3" s="1"/>
  <c r="F236" i="3"/>
  <c r="G236" i="3" s="1"/>
  <c r="F237" i="3"/>
  <c r="G237" i="3" s="1"/>
  <c r="F235" i="3"/>
  <c r="G235" i="3" s="1"/>
  <c r="K226" i="3"/>
  <c r="J226" i="3"/>
  <c r="I226" i="3" a="1"/>
  <c r="I226" i="3" s="1"/>
  <c r="L226" i="3" s="1"/>
  <c r="F226" i="3"/>
  <c r="G226" i="3" s="1"/>
  <c r="K239" i="3"/>
  <c r="J239" i="3"/>
  <c r="I239" i="3" a="1"/>
  <c r="I239" i="3" s="1"/>
  <c r="L239" i="3" s="1"/>
  <c r="F223" i="3"/>
  <c r="G223" i="3" s="1"/>
  <c r="L223" i="3"/>
  <c r="F234" i="3"/>
  <c r="G234" i="3" s="1"/>
  <c r="K177" i="3"/>
  <c r="J177" i="3"/>
  <c r="I177" i="3" a="1"/>
  <c r="I177" i="3" s="1"/>
  <c r="I186" i="3" a="1"/>
  <c r="I186" i="3" s="1"/>
  <c r="J186" i="3"/>
  <c r="K186" i="3"/>
  <c r="I185" i="3" a="1"/>
  <c r="I185" i="3" s="1"/>
  <c r="J185" i="3"/>
  <c r="K185" i="3"/>
  <c r="K184" i="3"/>
  <c r="J184" i="3"/>
  <c r="I184" i="3" a="1"/>
  <c r="I184" i="3" s="1"/>
  <c r="K183" i="3"/>
  <c r="J183" i="3"/>
  <c r="I183" i="3" a="1"/>
  <c r="I183" i="3" s="1"/>
  <c r="K182" i="3"/>
  <c r="J182" i="3"/>
  <c r="I182" i="3" a="1"/>
  <c r="I182" i="3" s="1"/>
  <c r="K181" i="3"/>
  <c r="J181" i="3"/>
  <c r="I181" i="3" a="1"/>
  <c r="I181" i="3" s="1"/>
  <c r="K180" i="3"/>
  <c r="J180" i="3"/>
  <c r="I180" i="3" a="1"/>
  <c r="I180" i="3" s="1"/>
  <c r="I179" i="3" a="1"/>
  <c r="I179" i="3" s="1"/>
  <c r="J179" i="3"/>
  <c r="K179" i="3"/>
  <c r="K178" i="3"/>
  <c r="J178" i="3"/>
  <c r="I178" i="3" a="1"/>
  <c r="I178" i="3" s="1"/>
  <c r="J215" i="3"/>
  <c r="I215" i="3" a="1"/>
  <c r="I215" i="3" s="1"/>
  <c r="K215" i="3"/>
  <c r="K214" i="3"/>
  <c r="K213" i="3"/>
  <c r="K212" i="3"/>
  <c r="K237" i="3"/>
  <c r="K236" i="3"/>
  <c r="K233" i="3"/>
  <c r="K222" i="3"/>
  <c r="K221" i="3"/>
  <c r="K220" i="3"/>
  <c r="K219" i="3"/>
  <c r="K218" i="3"/>
  <c r="K217" i="3"/>
  <c r="K216" i="3"/>
  <c r="J237" i="3"/>
  <c r="I237" i="3" a="1"/>
  <c r="I237" i="3" s="1"/>
  <c r="L237" i="3" s="1"/>
  <c r="J236" i="3"/>
  <c r="I236" i="3" a="1"/>
  <c r="I236" i="3" s="1"/>
  <c r="L236" i="3" s="1"/>
  <c r="F233" i="3"/>
  <c r="G233" i="3" s="1"/>
  <c r="K168" i="3"/>
  <c r="J168" i="3"/>
  <c r="I168" i="3" a="1"/>
  <c r="I168" i="3" s="1"/>
  <c r="K167" i="3"/>
  <c r="J167" i="3"/>
  <c r="I167" i="3" a="1"/>
  <c r="I167" i="3" s="1"/>
  <c r="F206" i="3"/>
  <c r="G206" i="3" s="1"/>
  <c r="K206" i="3"/>
  <c r="J206" i="3"/>
  <c r="J233" i="3"/>
  <c r="I233" i="3" a="1"/>
  <c r="I233" i="3" s="1"/>
  <c r="L233" i="3" s="1"/>
  <c r="I206" i="3" a="1"/>
  <c r="I206" i="3" s="1"/>
  <c r="L206" i="3" s="1"/>
  <c r="L201" i="3"/>
  <c r="F204" i="3"/>
  <c r="G204" i="3" s="1"/>
  <c r="F203" i="3"/>
  <c r="G203" i="3" s="1"/>
  <c r="F205" i="3"/>
  <c r="G205" i="3" s="1"/>
  <c r="F224" i="3"/>
  <c r="G224" i="3" s="1"/>
  <c r="F222" i="3"/>
  <c r="G222" i="3" s="1"/>
  <c r="F221" i="3"/>
  <c r="G221" i="3" s="1"/>
  <c r="F220" i="3"/>
  <c r="G220" i="3" s="1"/>
  <c r="F219" i="3"/>
  <c r="F218" i="3"/>
  <c r="F217" i="3"/>
  <c r="F216" i="3"/>
  <c r="F215" i="3"/>
  <c r="F214" i="3"/>
  <c r="F213" i="3"/>
  <c r="F212" i="3"/>
  <c r="F211" i="3"/>
  <c r="F210" i="3"/>
  <c r="F209" i="3"/>
  <c r="F208" i="3"/>
  <c r="F202" i="3"/>
  <c r="G202" i="3" s="1"/>
  <c r="F201" i="3"/>
  <c r="G201" i="3" s="1"/>
  <c r="F200" i="3"/>
  <c r="G200" i="3" s="1"/>
  <c r="F199" i="3"/>
  <c r="G199" i="3" s="1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J222" i="3"/>
  <c r="I222" i="3" a="1"/>
  <c r="I222" i="3" s="1"/>
  <c r="L222" i="3" s="1"/>
  <c r="K200" i="3"/>
  <c r="J200" i="3"/>
  <c r="I200" i="3" a="1"/>
  <c r="I200" i="3" s="1"/>
  <c r="L200" i="3" s="1"/>
  <c r="K176" i="3"/>
  <c r="J176" i="3"/>
  <c r="I176" i="3" a="1"/>
  <c r="I176" i="3" s="1"/>
  <c r="J201" i="3"/>
  <c r="K3" i="3"/>
  <c r="J3" i="3"/>
  <c r="I3" i="3" a="1"/>
  <c r="I3" i="3" s="1"/>
  <c r="K9" i="3"/>
  <c r="J9" i="3"/>
  <c r="I9" i="3" a="1"/>
  <c r="I9" i="3" s="1"/>
  <c r="L9" i="3" s="1"/>
  <c r="K8" i="3"/>
  <c r="J8" i="3"/>
  <c r="I8" i="3" a="1"/>
  <c r="I8" i="3" s="1"/>
  <c r="L8" i="3" s="1"/>
  <c r="K12" i="3"/>
  <c r="J12" i="3"/>
  <c r="I12" i="3" a="1"/>
  <c r="I12" i="3" s="1"/>
  <c r="L12" i="3" s="1"/>
  <c r="K11" i="3"/>
  <c r="J11" i="3"/>
  <c r="I11" i="3" a="1"/>
  <c r="I11" i="3" s="1"/>
  <c r="L11" i="3" s="1"/>
  <c r="K14" i="3"/>
  <c r="J14" i="3"/>
  <c r="I14" i="3" a="1"/>
  <c r="I14" i="3" s="1"/>
  <c r="L14" i="3" s="1"/>
  <c r="K18" i="3"/>
  <c r="J18" i="3"/>
  <c r="I18" i="3" a="1"/>
  <c r="I18" i="3" s="1"/>
  <c r="L18" i="3" s="1"/>
  <c r="K17" i="3"/>
  <c r="J17" i="3"/>
  <c r="I17" i="3" a="1"/>
  <c r="I17" i="3" s="1"/>
  <c r="L17" i="3" s="1"/>
  <c r="K16" i="3"/>
  <c r="J16" i="3"/>
  <c r="I16" i="3" a="1"/>
  <c r="I16" i="3" s="1"/>
  <c r="L16" i="3" s="1"/>
  <c r="K19" i="3"/>
  <c r="J19" i="3"/>
  <c r="I19" i="3" a="1"/>
  <c r="I19" i="3" s="1"/>
  <c r="L19" i="3" s="1"/>
  <c r="K20" i="3"/>
  <c r="J20" i="3"/>
  <c r="I20" i="3" a="1"/>
  <c r="I20" i="3" s="1"/>
  <c r="L20" i="3" s="1"/>
  <c r="K21" i="3"/>
  <c r="J21" i="3"/>
  <c r="I21" i="3" a="1"/>
  <c r="I21" i="3" s="1"/>
  <c r="L21" i="3" s="1"/>
  <c r="K22" i="3"/>
  <c r="J22" i="3"/>
  <c r="I22" i="3" a="1"/>
  <c r="I22" i="3" s="1"/>
  <c r="L22" i="3" s="1"/>
  <c r="K25" i="3"/>
  <c r="J25" i="3"/>
  <c r="I25" i="3" a="1"/>
  <c r="I25" i="3" s="1"/>
  <c r="L25" i="3" s="1"/>
  <c r="K26" i="3"/>
  <c r="J26" i="3"/>
  <c r="I26" i="3" a="1"/>
  <c r="I26" i="3" s="1"/>
  <c r="L26" i="3" s="1"/>
  <c r="K34" i="3"/>
  <c r="J34" i="3"/>
  <c r="I34" i="3" a="1"/>
  <c r="I34" i="3" s="1"/>
  <c r="L34" i="3" s="1"/>
  <c r="K35" i="3"/>
  <c r="J35" i="3"/>
  <c r="I35" i="3" a="1"/>
  <c r="I35" i="3" s="1"/>
  <c r="L35" i="3" s="1"/>
  <c r="K36" i="3"/>
  <c r="J36" i="3"/>
  <c r="I36" i="3" a="1"/>
  <c r="I36" i="3" s="1"/>
  <c r="L36" i="3" s="1"/>
  <c r="K37" i="3"/>
  <c r="J37" i="3"/>
  <c r="I37" i="3" a="1"/>
  <c r="I37" i="3" s="1"/>
  <c r="L37" i="3" s="1"/>
  <c r="K39" i="3"/>
  <c r="J39" i="3"/>
  <c r="I39" i="3" a="1"/>
  <c r="I39" i="3" s="1"/>
  <c r="L39" i="3" s="1"/>
  <c r="K45" i="3"/>
  <c r="J45" i="3"/>
  <c r="I45" i="3" a="1"/>
  <c r="I45" i="3" s="1"/>
  <c r="L45" i="3" s="1"/>
  <c r="K49" i="3"/>
  <c r="J49" i="3"/>
  <c r="K48" i="3"/>
  <c r="J48" i="3"/>
  <c r="I48" i="3" a="1"/>
  <c r="I48" i="3" s="1"/>
  <c r="L48" i="3" s="1"/>
  <c r="I49" i="3" a="1"/>
  <c r="I49" i="3" s="1"/>
  <c r="L49" i="3" s="1"/>
  <c r="I50" i="3" a="1"/>
  <c r="I50" i="3" s="1"/>
  <c r="L50" i="3" s="1"/>
  <c r="J50" i="3"/>
  <c r="K50" i="3"/>
  <c r="K53" i="3"/>
  <c r="J54" i="3"/>
  <c r="J53" i="3"/>
  <c r="I53" i="3" a="1"/>
  <c r="I53" i="3" s="1"/>
  <c r="F57" i="3"/>
  <c r="G57" i="3" s="1"/>
  <c r="F56" i="3"/>
  <c r="G56" i="3" s="1"/>
  <c r="F55" i="3"/>
  <c r="G55" i="3" s="1"/>
  <c r="F54" i="3"/>
  <c r="G54" i="3" s="1"/>
  <c r="F53" i="3"/>
  <c r="G53" i="3" s="1"/>
  <c r="F52" i="3"/>
  <c r="G52" i="3" s="1"/>
  <c r="F51" i="3"/>
  <c r="G51" i="3" s="1"/>
  <c r="F50" i="3"/>
  <c r="G50" i="3" s="1"/>
  <c r="F49" i="3"/>
  <c r="G49" i="3" s="1"/>
  <c r="F48" i="3"/>
  <c r="G48" i="3" s="1"/>
  <c r="F47" i="3"/>
  <c r="G47" i="3" s="1"/>
  <c r="F46" i="3"/>
  <c r="G46" i="3" s="1"/>
  <c r="F45" i="3"/>
  <c r="G45" i="3" s="1"/>
  <c r="F44" i="3"/>
  <c r="G44" i="3" s="1"/>
  <c r="F43" i="3"/>
  <c r="G43" i="3" s="1"/>
  <c r="F42" i="3"/>
  <c r="G42" i="3" s="1"/>
  <c r="F41" i="3"/>
  <c r="G41" i="3" s="1"/>
  <c r="F40" i="3"/>
  <c r="G40" i="3" s="1"/>
  <c r="F39" i="3"/>
  <c r="G39" i="3" s="1"/>
  <c r="F38" i="3"/>
  <c r="G38" i="3" s="1"/>
  <c r="F37" i="3"/>
  <c r="G37" i="3" s="1"/>
  <c r="F36" i="3"/>
  <c r="G36" i="3" s="1"/>
  <c r="F35" i="3"/>
  <c r="G35" i="3" s="1"/>
  <c r="F34" i="3"/>
  <c r="G34" i="3" s="1"/>
  <c r="F33" i="3"/>
  <c r="G33" i="3" s="1"/>
  <c r="F32" i="3"/>
  <c r="G32" i="3" s="1"/>
  <c r="F31" i="3"/>
  <c r="G31" i="3" s="1"/>
  <c r="F30" i="3"/>
  <c r="G30" i="3" s="1"/>
  <c r="F28" i="3"/>
  <c r="G28" i="3" s="1"/>
  <c r="F27" i="3"/>
  <c r="G27" i="3" s="1"/>
  <c r="F25" i="3"/>
  <c r="G25" i="3" s="1"/>
  <c r="F24" i="3"/>
  <c r="G24" i="3" s="1"/>
  <c r="F23" i="3"/>
  <c r="G23" i="3" s="1"/>
  <c r="F22" i="3"/>
  <c r="G22" i="3" s="1"/>
  <c r="F21" i="3"/>
  <c r="G21" i="3" s="1"/>
  <c r="F20" i="3"/>
  <c r="G20" i="3" s="1"/>
  <c r="F19" i="3"/>
  <c r="G19" i="3" s="1"/>
  <c r="F18" i="3"/>
  <c r="G18" i="3" s="1"/>
  <c r="F17" i="3"/>
  <c r="G17" i="3" s="1"/>
  <c r="F16" i="3"/>
  <c r="G16" i="3" s="1"/>
  <c r="F15" i="3"/>
  <c r="G15" i="3" s="1"/>
  <c r="F14" i="3"/>
  <c r="G14" i="3" s="1"/>
  <c r="F13" i="3"/>
  <c r="G13" i="3" s="1"/>
  <c r="F12" i="3"/>
  <c r="G12" i="3" s="1"/>
  <c r="F11" i="3"/>
  <c r="G11" i="3" s="1"/>
  <c r="F10" i="3"/>
  <c r="G10" i="3" s="1"/>
  <c r="F8" i="3"/>
  <c r="G8" i="3" s="1"/>
  <c r="F7" i="3"/>
  <c r="G7" i="3" s="1"/>
  <c r="F6" i="3"/>
  <c r="G6" i="3" s="1"/>
  <c r="F5" i="3"/>
  <c r="G5" i="3" s="1"/>
  <c r="F4" i="3"/>
  <c r="G4" i="3" s="1"/>
  <c r="F3" i="3"/>
  <c r="G3" i="3" s="1"/>
  <c r="F2" i="3"/>
  <c r="G2" i="3" s="1"/>
  <c r="F58" i="3"/>
  <c r="G58" i="3" s="1"/>
  <c r="F59" i="3"/>
  <c r="G59" i="3" s="1"/>
  <c r="J221" i="3"/>
  <c r="I221" i="3" a="1"/>
  <c r="I221" i="3" s="1"/>
  <c r="L221" i="3" s="1"/>
  <c r="J220" i="3"/>
  <c r="J219" i="3"/>
  <c r="K199" i="3"/>
  <c r="J199" i="3"/>
  <c r="I220" i="3" a="1"/>
  <c r="I220" i="3" s="1"/>
  <c r="I219" i="3" a="1"/>
  <c r="I219" i="3" s="1"/>
  <c r="I199" i="3" a="1"/>
  <c r="I199" i="3" s="1"/>
  <c r="L199" i="3" s="1"/>
  <c r="L3" i="3" l="1"/>
  <c r="L219" i="3"/>
  <c r="L220" i="3"/>
  <c r="G219" i="3"/>
  <c r="K197" i="3"/>
  <c r="J197" i="3"/>
  <c r="I197" i="3" a="1"/>
  <c r="I197" i="3" s="1"/>
  <c r="L197" i="3" s="1"/>
  <c r="G197" i="3"/>
  <c r="G218" i="3"/>
  <c r="G217" i="3"/>
  <c r="K166" i="3"/>
  <c r="K165" i="3"/>
  <c r="K164" i="3"/>
  <c r="K163" i="3"/>
  <c r="J218" i="3"/>
  <c r="I218" i="3" a="1"/>
  <c r="I218" i="3" s="1"/>
  <c r="L218" i="3" s="1"/>
  <c r="G196" i="3"/>
  <c r="G195" i="3"/>
  <c r="K194" i="3"/>
  <c r="J194" i="3"/>
  <c r="I194" i="3" a="1"/>
  <c r="I194" i="3" s="1"/>
  <c r="L194" i="3" s="1"/>
  <c r="G194" i="3"/>
  <c r="K193" i="3"/>
  <c r="J193" i="3"/>
  <c r="I193" i="3" a="1"/>
  <c r="I193" i="3" s="1"/>
  <c r="L193" i="3" s="1"/>
  <c r="G193" i="3"/>
  <c r="G216" i="3"/>
  <c r="J217" i="3"/>
  <c r="I217" i="3" a="1"/>
  <c r="I217" i="3" s="1"/>
  <c r="L217" i="3" s="1"/>
  <c r="K192" i="3"/>
  <c r="J192" i="3"/>
  <c r="I192" i="3" a="1"/>
  <c r="I192" i="3" s="1"/>
  <c r="L192" i="3" s="1"/>
  <c r="G192" i="3"/>
  <c r="G198" i="3" l="1"/>
  <c r="F159" i="3"/>
  <c r="G159" i="3" s="1"/>
  <c r="K188" i="3"/>
  <c r="J188" i="3"/>
  <c r="I188" i="3" a="1"/>
  <c r="I188" i="3" s="1"/>
  <c r="L188" i="3" s="1"/>
  <c r="K198" i="3"/>
  <c r="J198" i="3"/>
  <c r="I198" i="3" a="1"/>
  <c r="I198" i="3" s="1"/>
  <c r="L198" i="3" s="1"/>
  <c r="K191" i="3"/>
  <c r="K190" i="3"/>
  <c r="K189" i="3"/>
  <c r="K187" i="3"/>
  <c r="K159" i="3"/>
  <c r="J159" i="3"/>
  <c r="I159" i="3" a="1"/>
  <c r="I159" i="3" s="1"/>
  <c r="L159" i="3" s="1"/>
  <c r="J216" i="3"/>
  <c r="I216" i="3" a="1"/>
  <c r="I216" i="3" s="1"/>
  <c r="L216" i="3" s="1"/>
  <c r="I110" i="3" l="1" a="1"/>
  <c r="I110" i="3" s="1"/>
  <c r="I111" i="3" a="1"/>
  <c r="I111" i="3" s="1"/>
  <c r="I112" i="3" a="1"/>
  <c r="I112" i="3" s="1"/>
  <c r="I113" i="3" a="1"/>
  <c r="I113" i="3" s="1"/>
  <c r="I114" i="3" a="1"/>
  <c r="I114" i="3" s="1"/>
  <c r="I115" i="3" a="1"/>
  <c r="I115" i="3" s="1"/>
  <c r="I117" i="3" a="1"/>
  <c r="I117" i="3" s="1"/>
  <c r="F125" i="3"/>
  <c r="F124" i="3"/>
  <c r="G124" i="3" s="1"/>
  <c r="F123" i="3"/>
  <c r="F122" i="3"/>
  <c r="G122" i="3" s="1"/>
  <c r="F121" i="3"/>
  <c r="F120" i="3"/>
  <c r="G120" i="3" s="1"/>
  <c r="F119" i="3"/>
  <c r="G119" i="3" s="1"/>
  <c r="F118" i="3"/>
  <c r="F117" i="3"/>
  <c r="G117" i="3" s="1"/>
  <c r="F116" i="3"/>
  <c r="F115" i="3"/>
  <c r="G115" i="3" s="1"/>
  <c r="F114" i="3"/>
  <c r="G114" i="3" s="1"/>
  <c r="F113" i="3"/>
  <c r="G113" i="3" s="1"/>
  <c r="F112" i="3"/>
  <c r="G112" i="3" s="1"/>
  <c r="F111" i="3"/>
  <c r="G111" i="3" s="1"/>
  <c r="F110" i="3"/>
  <c r="G110" i="3" s="1"/>
  <c r="F109" i="3"/>
  <c r="F108" i="3"/>
  <c r="G108" i="3" s="1"/>
  <c r="F107" i="3"/>
  <c r="F106" i="3"/>
  <c r="F105" i="3"/>
  <c r="G105" i="3" s="1"/>
  <c r="F104" i="3"/>
  <c r="G104" i="3" s="1"/>
  <c r="F103" i="3"/>
  <c r="F102" i="3"/>
  <c r="F101" i="3"/>
  <c r="G101" i="3" s="1"/>
  <c r="F100" i="3"/>
  <c r="G100" i="3" s="1"/>
  <c r="F99" i="3"/>
  <c r="G99" i="3" s="1"/>
  <c r="F98" i="3"/>
  <c r="F97" i="3"/>
  <c r="G97" i="3" s="1"/>
  <c r="F96" i="3"/>
  <c r="G96" i="3" s="1"/>
  <c r="F95" i="3"/>
  <c r="G95" i="3" s="1"/>
  <c r="F94" i="3"/>
  <c r="G94" i="3" s="1"/>
  <c r="F93" i="3"/>
  <c r="F92" i="3"/>
  <c r="G92" i="3" s="1"/>
  <c r="F91" i="3"/>
  <c r="G91" i="3" s="1"/>
  <c r="F90" i="3"/>
  <c r="G90" i="3" s="1"/>
  <c r="F89" i="3"/>
  <c r="G89" i="3" s="1"/>
  <c r="F88" i="3"/>
  <c r="G88" i="3" s="1"/>
  <c r="F87" i="3"/>
  <c r="G87" i="3" s="1"/>
  <c r="F86" i="3"/>
  <c r="F85" i="3"/>
  <c r="G85" i="3" s="1"/>
  <c r="F84" i="3"/>
  <c r="F83" i="3"/>
  <c r="G83" i="3" s="1"/>
  <c r="F82" i="3"/>
  <c r="G82" i="3" s="1"/>
  <c r="F81" i="3"/>
  <c r="G81" i="3" s="1"/>
  <c r="F80" i="3"/>
  <c r="F79" i="3"/>
  <c r="G79" i="3" s="1"/>
  <c r="F78" i="3"/>
  <c r="G78" i="3" s="1"/>
  <c r="F77" i="3"/>
  <c r="G77" i="3" s="1"/>
  <c r="F76" i="3"/>
  <c r="F75" i="3"/>
  <c r="G75" i="3" s="1"/>
  <c r="F74" i="3"/>
  <c r="G74" i="3" s="1"/>
  <c r="F73" i="3"/>
  <c r="G73" i="3" s="1"/>
  <c r="F72" i="3"/>
  <c r="G72" i="3" s="1"/>
  <c r="F71" i="3"/>
  <c r="G71" i="3" s="1"/>
  <c r="F70" i="3"/>
  <c r="G70" i="3" s="1"/>
  <c r="F69" i="3"/>
  <c r="G69" i="3" s="1"/>
  <c r="F68" i="3"/>
  <c r="G68" i="3" s="1"/>
  <c r="F67" i="3"/>
  <c r="G67" i="3" s="1"/>
  <c r="F66" i="3"/>
  <c r="F65" i="3"/>
  <c r="G65" i="3" s="1"/>
  <c r="F64" i="3"/>
  <c r="G64" i="3" s="1"/>
  <c r="F63" i="3"/>
  <c r="G63" i="3" s="1"/>
  <c r="F62" i="3"/>
  <c r="G62" i="3" s="1"/>
  <c r="F61" i="3"/>
  <c r="G61" i="3" s="1"/>
  <c r="F126" i="3"/>
  <c r="J190" i="3"/>
  <c r="I190" i="3" a="1"/>
  <c r="I190" i="3" s="1"/>
  <c r="L190" i="3" s="1"/>
  <c r="G190" i="3"/>
  <c r="K172" i="3"/>
  <c r="J172" i="3"/>
  <c r="I172" i="3" a="1"/>
  <c r="I172" i="3" s="1"/>
  <c r="L172" i="3" s="1"/>
  <c r="F172" i="3"/>
  <c r="G172" i="3" s="1"/>
  <c r="G188" i="3"/>
  <c r="G187" i="3"/>
  <c r="G186" i="3"/>
  <c r="G185" i="3"/>
  <c r="G184" i="3"/>
  <c r="G183" i="3"/>
  <c r="G182" i="3"/>
  <c r="J189" i="3"/>
  <c r="I189" i="3" a="1"/>
  <c r="I189" i="3" s="1"/>
  <c r="L189" i="3" s="1"/>
  <c r="G189" i="3"/>
  <c r="F173" i="3"/>
  <c r="G173" i="3" s="1"/>
  <c r="L168" i="3"/>
  <c r="F168" i="3"/>
  <c r="G168" i="3" s="1"/>
  <c r="J187" i="3"/>
  <c r="I187" i="3" a="1"/>
  <c r="I187" i="3" s="1"/>
  <c r="L187" i="3" s="1"/>
  <c r="K171" i="3"/>
  <c r="J171" i="3"/>
  <c r="I171" i="3" a="1"/>
  <c r="I171" i="3" s="1"/>
  <c r="L171" i="3" s="1"/>
  <c r="F171" i="3"/>
  <c r="G171" i="3" s="1"/>
  <c r="L186" i="3" l="1"/>
  <c r="I208" i="3" l="1" a="1"/>
  <c r="I208" i="3" s="1"/>
  <c r="J208" i="3"/>
  <c r="J214" i="3"/>
  <c r="I214" i="3" a="1"/>
  <c r="I214" i="3" s="1"/>
  <c r="J213" i="3"/>
  <c r="I213" i="3" a="1"/>
  <c r="I213" i="3" s="1"/>
  <c r="J212" i="3"/>
  <c r="I212" i="3" a="1"/>
  <c r="I212" i="3" s="1"/>
  <c r="K145" i="3"/>
  <c r="J148" i="3"/>
  <c r="I148" i="3" a="1"/>
  <c r="I148" i="3" s="1"/>
  <c r="J146" i="3"/>
  <c r="I146" i="3" a="1"/>
  <c r="I146" i="3" s="1"/>
  <c r="K162" i="3"/>
  <c r="K161" i="3"/>
  <c r="K160" i="3"/>
  <c r="K158" i="3"/>
  <c r="K157" i="3"/>
  <c r="K156" i="3"/>
  <c r="K155" i="3"/>
  <c r="K154" i="3"/>
  <c r="K153" i="3"/>
  <c r="K152" i="3"/>
  <c r="K151" i="3"/>
  <c r="K149" i="3"/>
  <c r="K148" i="3"/>
  <c r="K147" i="3"/>
  <c r="K146" i="3"/>
  <c r="J166" i="3"/>
  <c r="I166" i="3" a="1"/>
  <c r="I166" i="3" s="1"/>
  <c r="J165" i="3"/>
  <c r="I165" i="3" a="1"/>
  <c r="I165" i="3" s="1"/>
  <c r="J164" i="3"/>
  <c r="I164" i="3" a="1"/>
  <c r="I164" i="3" s="1"/>
  <c r="J163" i="3"/>
  <c r="I163" i="3" a="1"/>
  <c r="I163" i="3" s="1"/>
  <c r="J162" i="3"/>
  <c r="I162" i="3" a="1"/>
  <c r="I162" i="3" s="1"/>
  <c r="J161" i="3"/>
  <c r="I161" i="3" a="1"/>
  <c r="I161" i="3" s="1"/>
  <c r="J160" i="3"/>
  <c r="I160" i="3" a="1"/>
  <c r="I160" i="3" s="1"/>
  <c r="J158" i="3"/>
  <c r="I158" i="3" a="1"/>
  <c r="I158" i="3" s="1"/>
  <c r="J157" i="3"/>
  <c r="I157" i="3" a="1"/>
  <c r="I157" i="3" s="1"/>
  <c r="J156" i="3"/>
  <c r="I156" i="3" a="1"/>
  <c r="I156" i="3" s="1"/>
  <c r="J155" i="3"/>
  <c r="I155" i="3" a="1"/>
  <c r="I155" i="3" s="1"/>
  <c r="J154" i="3"/>
  <c r="I154" i="3" a="1"/>
  <c r="I154" i="3" s="1"/>
  <c r="J153" i="3"/>
  <c r="I153" i="3" a="1"/>
  <c r="I153" i="3" s="1"/>
  <c r="J152" i="3"/>
  <c r="I152" i="3" a="1"/>
  <c r="I152" i="3" s="1"/>
  <c r="J151" i="3"/>
  <c r="I151" i="3" a="1"/>
  <c r="I151" i="3" s="1"/>
  <c r="I150" i="3" a="1"/>
  <c r="I150" i="3" s="1"/>
  <c r="I149" i="3" a="1"/>
  <c r="I149" i="3" s="1"/>
  <c r="K174" i="3"/>
  <c r="J174" i="3"/>
  <c r="I174" i="3" a="1"/>
  <c r="I174" i="3" s="1"/>
  <c r="L174" i="3" s="1"/>
  <c r="F174" i="3"/>
  <c r="G174" i="3" s="1"/>
  <c r="K170" i="3"/>
  <c r="J170" i="3"/>
  <c r="I170" i="3" a="1"/>
  <c r="I170" i="3" s="1"/>
  <c r="L170" i="3" s="1"/>
  <c r="F170" i="3"/>
  <c r="G170" i="3" s="1"/>
  <c r="F169" i="3"/>
  <c r="G169" i="3" s="1"/>
  <c r="K169" i="3"/>
  <c r="J169" i="3"/>
  <c r="I169" i="3" a="1"/>
  <c r="I169" i="3" s="1"/>
  <c r="L169" i="3" s="1"/>
  <c r="L167" i="3"/>
  <c r="F167" i="3"/>
  <c r="G167" i="3" s="1"/>
  <c r="G191" i="3"/>
  <c r="F181" i="3"/>
  <c r="G181" i="3" s="1"/>
  <c r="F180" i="3"/>
  <c r="G180" i="3" s="1"/>
  <c r="F179" i="3"/>
  <c r="G179" i="3" s="1"/>
  <c r="F178" i="3"/>
  <c r="G178" i="3" s="1"/>
  <c r="F177" i="3"/>
  <c r="G177" i="3" s="1"/>
  <c r="F176" i="3"/>
  <c r="G176" i="3" s="1"/>
  <c r="F175" i="3"/>
  <c r="G175" i="3" s="1"/>
  <c r="F166" i="3"/>
  <c r="G166" i="3" s="1"/>
  <c r="F165" i="3"/>
  <c r="G165" i="3" s="1"/>
  <c r="F164" i="3"/>
  <c r="G164" i="3" s="1"/>
  <c r="F163" i="3"/>
  <c r="G163" i="3" s="1"/>
  <c r="F162" i="3"/>
  <c r="G162" i="3" s="1"/>
  <c r="F161" i="3"/>
  <c r="G161" i="3" s="1"/>
  <c r="F160" i="3"/>
  <c r="G160" i="3" s="1"/>
  <c r="F157" i="3"/>
  <c r="G157" i="3" s="1"/>
  <c r="F156" i="3"/>
  <c r="G156" i="3" s="1"/>
  <c r="F155" i="3"/>
  <c r="G155" i="3" s="1"/>
  <c r="F154" i="3"/>
  <c r="G154" i="3" s="1"/>
  <c r="F153" i="3"/>
  <c r="G153" i="3" s="1"/>
  <c r="F152" i="3"/>
  <c r="G152" i="3" s="1"/>
  <c r="F151" i="3"/>
  <c r="G151" i="3" s="1"/>
  <c r="F150" i="3"/>
  <c r="G150" i="3" s="1"/>
  <c r="F149" i="3"/>
  <c r="G149" i="3" s="1"/>
  <c r="F148" i="3"/>
  <c r="G148" i="3" s="1"/>
  <c r="F147" i="3"/>
  <c r="G147" i="3" s="1"/>
  <c r="F146" i="3"/>
  <c r="G146" i="3" s="1"/>
  <c r="F145" i="3"/>
  <c r="G145" i="3" s="1"/>
  <c r="F144" i="3"/>
  <c r="G144" i="3" s="1"/>
  <c r="F143" i="3"/>
  <c r="G143" i="3" s="1"/>
  <c r="F142" i="3"/>
  <c r="G142" i="3" s="1"/>
  <c r="F141" i="3"/>
  <c r="G141" i="3" s="1"/>
  <c r="F140" i="3"/>
  <c r="G140" i="3" s="1"/>
  <c r="F139" i="3"/>
  <c r="G139" i="3" s="1"/>
  <c r="F138" i="3"/>
  <c r="G138" i="3" s="1"/>
  <c r="F137" i="3"/>
  <c r="G137" i="3" s="1"/>
  <c r="F136" i="3"/>
  <c r="G136" i="3" s="1"/>
  <c r="F135" i="3"/>
  <c r="G135" i="3" s="1"/>
  <c r="F134" i="3"/>
  <c r="G134" i="3" s="1"/>
  <c r="F133" i="3"/>
  <c r="G133" i="3" s="1"/>
  <c r="F132" i="3"/>
  <c r="G132" i="3" s="1"/>
  <c r="F131" i="3"/>
  <c r="G131" i="3" s="1"/>
  <c r="F130" i="3"/>
  <c r="G130" i="3" s="1"/>
  <c r="F129" i="3"/>
  <c r="G129" i="3" s="1"/>
  <c r="F128" i="3"/>
  <c r="G128" i="3" s="1"/>
  <c r="F127" i="3"/>
  <c r="G127" i="3" s="1"/>
  <c r="F158" i="3"/>
  <c r="G158" i="3" s="1"/>
  <c r="J147" i="3"/>
  <c r="I147" i="3" a="1"/>
  <c r="I147" i="3" s="1"/>
  <c r="J150" i="3"/>
  <c r="J149" i="3"/>
  <c r="K134" i="3"/>
  <c r="K144" i="3"/>
  <c r="K143" i="3"/>
  <c r="K140" i="3"/>
  <c r="K139" i="3"/>
  <c r="K138" i="3"/>
  <c r="K137" i="3"/>
  <c r="J144" i="3"/>
  <c r="J143" i="3"/>
  <c r="J140" i="3"/>
  <c r="J139" i="3"/>
  <c r="J138" i="3"/>
  <c r="J137" i="3"/>
  <c r="J136" i="3"/>
  <c r="J134" i="3"/>
  <c r="J132" i="3"/>
  <c r="J131" i="3"/>
  <c r="I144" i="3" a="1"/>
  <c r="I144" i="3" s="1"/>
  <c r="I143" i="3" a="1"/>
  <c r="I143" i="3" s="1"/>
  <c r="I140" i="3" a="1"/>
  <c r="I140" i="3" s="1"/>
  <c r="I139" i="3" a="1"/>
  <c r="I139" i="3" s="1"/>
  <c r="I138" i="3" a="1"/>
  <c r="I138" i="3" s="1"/>
  <c r="I137" i="3" a="1"/>
  <c r="I137" i="3" s="1"/>
  <c r="L185" i="3"/>
  <c r="J191" i="3"/>
  <c r="I191" i="3" a="1"/>
  <c r="I191" i="3" s="1"/>
  <c r="K175" i="3"/>
  <c r="J175" i="3"/>
  <c r="I175" i="3" a="1"/>
  <c r="I175" i="3" s="1"/>
  <c r="K150" i="3"/>
  <c r="K58" i="3"/>
  <c r="J58" i="3"/>
  <c r="I58" i="3" a="1"/>
  <c r="I58" i="3" s="1"/>
  <c r="L58" i="3" s="1"/>
  <c r="K57" i="3"/>
  <c r="J57" i="3"/>
  <c r="I57" i="3" a="1"/>
  <c r="I57" i="3" s="1"/>
  <c r="K56" i="3"/>
  <c r="J56" i="3"/>
  <c r="I56" i="3" a="1"/>
  <c r="I56" i="3" s="1"/>
  <c r="L56" i="3" s="1"/>
  <c r="K55" i="3"/>
  <c r="J55" i="3"/>
  <c r="I55" i="3" a="1"/>
  <c r="I55" i="3" s="1"/>
  <c r="L55" i="3" s="1"/>
  <c r="K65" i="3"/>
  <c r="J65" i="3"/>
  <c r="I65" i="3" a="1"/>
  <c r="I65" i="3" s="1"/>
  <c r="L65" i="3" s="1"/>
  <c r="K83" i="3"/>
  <c r="J83" i="3"/>
  <c r="I83" i="3" a="1"/>
  <c r="I83" i="3" s="1"/>
  <c r="K82" i="3"/>
  <c r="J82" i="3"/>
  <c r="I82" i="3" a="1"/>
  <c r="I82" i="3" s="1"/>
  <c r="K81" i="3"/>
  <c r="J81" i="3"/>
  <c r="I81" i="3" a="1"/>
  <c r="I81" i="3" s="1"/>
  <c r="K85" i="3"/>
  <c r="J85" i="3"/>
  <c r="I85" i="3" a="1"/>
  <c r="I85" i="3" s="1"/>
  <c r="K92" i="3"/>
  <c r="J92" i="3"/>
  <c r="I92" i="3" a="1"/>
  <c r="I92" i="3" s="1"/>
  <c r="K91" i="3"/>
  <c r="J91" i="3"/>
  <c r="I91" i="3" a="1"/>
  <c r="I91" i="3" s="1"/>
  <c r="K88" i="3"/>
  <c r="J88" i="3"/>
  <c r="I88" i="3" a="1"/>
  <c r="I88" i="3" s="1"/>
  <c r="K87" i="3"/>
  <c r="J87" i="3"/>
  <c r="I87" i="3" a="1"/>
  <c r="I87" i="3" s="1"/>
  <c r="K94" i="3"/>
  <c r="J94" i="3"/>
  <c r="I94" i="3" a="1"/>
  <c r="I94" i="3" s="1"/>
  <c r="K95" i="3"/>
  <c r="J95" i="3"/>
  <c r="I95" i="3" a="1"/>
  <c r="I95" i="3" s="1"/>
  <c r="K96" i="3"/>
  <c r="J96" i="3"/>
  <c r="I96" i="3" a="1"/>
  <c r="I96" i="3" s="1"/>
  <c r="K97" i="3"/>
  <c r="J97" i="3"/>
  <c r="I97" i="3" a="1"/>
  <c r="I97" i="3" s="1"/>
  <c r="K99" i="3"/>
  <c r="J99" i="3"/>
  <c r="I99" i="3" a="1"/>
  <c r="I99" i="3" s="1"/>
  <c r="K100" i="3"/>
  <c r="J100" i="3"/>
  <c r="I100" i="3" a="1"/>
  <c r="I100" i="3" s="1"/>
  <c r="K101" i="3"/>
  <c r="J101" i="3"/>
  <c r="I101" i="3" a="1"/>
  <c r="I101" i="3" s="1"/>
  <c r="K110" i="3"/>
  <c r="J110" i="3"/>
  <c r="K111" i="3"/>
  <c r="J111" i="3"/>
  <c r="K112" i="3"/>
  <c r="J112" i="3"/>
  <c r="K113" i="3"/>
  <c r="J113" i="3"/>
  <c r="K114" i="3"/>
  <c r="J114" i="3"/>
  <c r="K115" i="3"/>
  <c r="J115" i="3"/>
  <c r="K124" i="3"/>
  <c r="J124" i="3"/>
  <c r="I124" i="3" a="1"/>
  <c r="I124" i="3" s="1"/>
  <c r="K117" i="3"/>
  <c r="J117" i="3"/>
  <c r="K130" i="3"/>
  <c r="J130" i="3"/>
  <c r="I130" i="3" a="1"/>
  <c r="I130" i="3" s="1"/>
  <c r="K131" i="3"/>
  <c r="I131" i="3" a="1"/>
  <c r="I131" i="3" s="1"/>
  <c r="K132" i="3"/>
  <c r="I132" i="3" a="1"/>
  <c r="I132" i="3" s="1"/>
  <c r="I134" i="3" a="1"/>
  <c r="I134" i="3" s="1"/>
  <c r="I136" i="3" a="1"/>
  <c r="I136" i="3" s="1"/>
  <c r="K136" i="3"/>
  <c r="G215" i="3"/>
  <c r="L215" i="3"/>
  <c r="K173" i="3"/>
  <c r="J173" i="3"/>
  <c r="I173" i="3" a="1"/>
  <c r="I173" i="3" s="1"/>
  <c r="L181" i="3" l="1"/>
  <c r="L191" i="3"/>
  <c r="L183" i="3"/>
  <c r="L175" i="3"/>
  <c r="L184" i="3"/>
  <c r="L182" i="3"/>
  <c r="L57" i="3"/>
  <c r="L176" i="3"/>
  <c r="L179" i="3"/>
  <c r="L166" i="3"/>
  <c r="L177" i="3"/>
  <c r="L173" i="3"/>
  <c r="L165" i="3"/>
  <c r="L178" i="3"/>
  <c r="L180" i="3"/>
  <c r="L151" i="3"/>
  <c r="L161" i="3"/>
  <c r="L160" i="3"/>
  <c r="L154" i="3"/>
  <c r="L155" i="3"/>
  <c r="L164" i="3"/>
  <c r="L162" i="3"/>
  <c r="L163" i="3" l="1"/>
  <c r="L158" i="3"/>
  <c r="L214" i="3"/>
  <c r="J123" i="3"/>
  <c r="J116" i="3"/>
  <c r="L140" i="3"/>
  <c r="L157" i="3"/>
  <c r="L156" i="3"/>
  <c r="L153" i="3"/>
  <c r="L152" i="3"/>
  <c r="L149" i="3"/>
  <c r="L148" i="3"/>
  <c r="L147" i="3"/>
  <c r="J145" i="3"/>
  <c r="L146" i="3"/>
  <c r="J207" i="3"/>
  <c r="J135" i="3"/>
  <c r="J133" i="3"/>
  <c r="J129" i="3"/>
  <c r="J128" i="3"/>
  <c r="J127" i="3"/>
  <c r="J126" i="3"/>
  <c r="J125" i="3"/>
  <c r="G214" i="3"/>
  <c r="G213" i="3"/>
  <c r="G212" i="3"/>
  <c r="G211" i="3"/>
  <c r="G210" i="3"/>
  <c r="G209" i="3"/>
  <c r="G208" i="3"/>
  <c r="L213" i="3" l="1"/>
  <c r="L139" i="3"/>
  <c r="L208" i="3"/>
  <c r="L212" i="3"/>
  <c r="L150" i="3"/>
  <c r="L144" i="3" l="1"/>
  <c r="A141" i="3"/>
  <c r="L137" i="3"/>
  <c r="L136" i="3"/>
  <c r="L135" i="3"/>
  <c r="L134" i="3"/>
  <c r="L133" i="3"/>
  <c r="L76" i="3"/>
  <c r="L98" i="3"/>
  <c r="L88" i="3"/>
  <c r="L87" i="3"/>
  <c r="L86" i="3"/>
  <c r="L84" i="3"/>
  <c r="L83" i="3"/>
  <c r="L80" i="3"/>
  <c r="L79" i="3"/>
  <c r="L129" i="3"/>
  <c r="L128" i="3"/>
  <c r="L127" i="3"/>
  <c r="L126" i="3"/>
  <c r="L125" i="3"/>
  <c r="L123" i="3"/>
  <c r="L121" i="3"/>
  <c r="L118" i="3"/>
  <c r="L117" i="3"/>
  <c r="L116" i="3"/>
  <c r="L110" i="3"/>
  <c r="L109" i="3"/>
  <c r="I108" i="3"/>
  <c r="L107" i="3"/>
  <c r="L106" i="3"/>
  <c r="I105" i="3"/>
  <c r="L105" i="3" s="1"/>
  <c r="I104" i="3"/>
  <c r="L104" i="3" s="1"/>
  <c r="L103" i="3"/>
  <c r="L102" i="3"/>
  <c r="L96" i="3"/>
  <c r="L94" i="3"/>
  <c r="L93" i="3"/>
  <c r="K141" i="3" l="1"/>
  <c r="J141" i="3"/>
  <c r="I141" i="3" a="1"/>
  <c r="I141" i="3" s="1"/>
  <c r="L141" i="3" s="1"/>
  <c r="A142" i="3"/>
  <c r="L112" i="3"/>
  <c r="L143" i="3"/>
  <c r="L101" i="3"/>
  <c r="L82" i="3"/>
  <c r="L85" i="3"/>
  <c r="L97" i="3"/>
  <c r="L138" i="3"/>
  <c r="L111" i="3"/>
  <c r="L95" i="3"/>
  <c r="L113" i="3"/>
  <c r="L92" i="3"/>
  <c r="L130" i="3"/>
  <c r="L114" i="3"/>
  <c r="L100" i="3"/>
  <c r="L108" i="3"/>
  <c r="L124" i="3"/>
  <c r="L132" i="3"/>
  <c r="L91" i="3"/>
  <c r="L99" i="3"/>
  <c r="L131" i="3"/>
  <c r="L81" i="3"/>
  <c r="L115" i="3"/>
  <c r="K142" i="3" l="1"/>
  <c r="J142" i="3"/>
  <c r="I142" i="3" a="1"/>
  <c r="I142" i="3" s="1"/>
  <c r="L142" i="3" s="1"/>
  <c r="A118" i="3" l="1"/>
  <c r="A89" i="3"/>
  <c r="K89" i="3" l="1"/>
  <c r="J89" i="3"/>
  <c r="I89" i="3" a="1"/>
  <c r="I89" i="3" s="1"/>
  <c r="L89" i="3" s="1"/>
  <c r="A119" i="3"/>
  <c r="A90" i="3"/>
  <c r="I90" i="3" l="1" a="1"/>
  <c r="I90" i="3" s="1"/>
  <c r="L90" i="3" s="1"/>
  <c r="J90" i="3"/>
  <c r="K90" i="3"/>
  <c r="K119" i="3"/>
  <c r="J119" i="3"/>
  <c r="I119" i="3" a="1"/>
  <c r="I119" i="3" s="1"/>
  <c r="L119" i="3" s="1"/>
  <c r="A120" i="3"/>
  <c r="A61" i="3"/>
  <c r="A121" i="3" l="1"/>
  <c r="J121" i="3" s="1"/>
  <c r="J120" i="3"/>
  <c r="I120" i="3" a="1"/>
  <c r="I120" i="3" s="1"/>
  <c r="L120" i="3" s="1"/>
  <c r="K120" i="3"/>
  <c r="A62" i="3"/>
  <c r="I61" i="3"/>
  <c r="A122" i="3" l="1"/>
  <c r="K122" i="3" s="1"/>
  <c r="I122" i="3" a="1"/>
  <c r="I122" i="3" s="1"/>
  <c r="L122" i="3" s="1"/>
  <c r="A63" i="3"/>
  <c r="I62" i="3"/>
  <c r="J122" i="3" l="1"/>
  <c r="K63" i="3"/>
  <c r="J63" i="3"/>
  <c r="I63" i="3" a="1"/>
  <c r="I63" i="3" s="1"/>
  <c r="L63" i="3" s="1"/>
  <c r="A64" i="3"/>
  <c r="K64" i="3" l="1"/>
  <c r="J64" i="3"/>
  <c r="I64" i="3" a="1"/>
  <c r="I64" i="3" s="1"/>
  <c r="L64" i="3" s="1"/>
  <c r="A66" i="3"/>
  <c r="K66" i="3" l="1"/>
  <c r="J66" i="3"/>
  <c r="I66" i="3" a="1"/>
  <c r="I66" i="3" s="1"/>
  <c r="L66" i="3" s="1"/>
  <c r="A67" i="3"/>
  <c r="J67" i="3" l="1"/>
  <c r="I67" i="3" a="1"/>
  <c r="I67" i="3" s="1"/>
  <c r="L67" i="3" s="1"/>
  <c r="K67" i="3"/>
  <c r="A68" i="3"/>
  <c r="K68" i="3" l="1"/>
  <c r="J68" i="3"/>
  <c r="I68" i="3" a="1"/>
  <c r="I68" i="3" s="1"/>
  <c r="L68" i="3" s="1"/>
  <c r="A69" i="3"/>
  <c r="K69" i="3" l="1"/>
  <c r="J69" i="3"/>
  <c r="I69" i="3" a="1"/>
  <c r="I69" i="3" s="1"/>
  <c r="L69" i="3" s="1"/>
  <c r="A70" i="3"/>
  <c r="I70" i="3" l="1" a="1"/>
  <c r="I70" i="3" s="1"/>
  <c r="L70" i="3" s="1"/>
  <c r="K70" i="3"/>
  <c r="J70" i="3"/>
  <c r="A71" i="3"/>
  <c r="K71" i="3" l="1"/>
  <c r="J71" i="3"/>
  <c r="I71" i="3" a="1"/>
  <c r="I71" i="3" s="1"/>
  <c r="L71" i="3" s="1"/>
  <c r="A72" i="3"/>
  <c r="K72" i="3" l="1"/>
  <c r="J72" i="3"/>
  <c r="I72" i="3" a="1"/>
  <c r="I72" i="3" s="1"/>
  <c r="L72" i="3" s="1"/>
  <c r="A73" i="3"/>
  <c r="K73" i="3" l="1"/>
  <c r="J73" i="3"/>
  <c r="I73" i="3" a="1"/>
  <c r="I73" i="3" s="1"/>
  <c r="L73" i="3" s="1"/>
  <c r="A74" i="3"/>
  <c r="K74" i="3" l="1"/>
  <c r="J74" i="3"/>
  <c r="I74" i="3" a="1"/>
  <c r="I74" i="3" s="1"/>
  <c r="L74" i="3" s="1"/>
  <c r="A75" i="3"/>
  <c r="J75" i="3" l="1"/>
  <c r="I75" i="3" a="1"/>
  <c r="I75" i="3" s="1"/>
  <c r="L75" i="3" s="1"/>
  <c r="K75" i="3"/>
  <c r="A76" i="3"/>
  <c r="A77" i="3" s="1"/>
  <c r="K77" i="3" l="1"/>
  <c r="J77" i="3"/>
  <c r="I77" i="3" a="1"/>
  <c r="I77" i="3" s="1"/>
  <c r="L77" i="3" s="1"/>
  <c r="A78" i="3"/>
  <c r="I78" i="3" l="1" a="1"/>
  <c r="I78" i="3" s="1"/>
  <c r="L78" i="3" s="1"/>
  <c r="K78" i="3"/>
  <c r="J78" i="3"/>
  <c r="A79" i="3"/>
</calcChain>
</file>

<file path=xl/sharedStrings.xml><?xml version="1.0" encoding="utf-8"?>
<sst xmlns="http://schemas.openxmlformats.org/spreadsheetml/2006/main" count="3371" uniqueCount="711">
  <si>
    <t>log:C:/git/luxai/light/main</t>
  </si>
  <si>
    <t>py</t>
  </si>
  <si>
    <t>win</t>
  </si>
  <si>
    <t>light</t>
  </si>
  <si>
    <t>rule416</t>
  </si>
  <si>
    <t>rule419</t>
  </si>
  <si>
    <t>rule420</t>
  </si>
  <si>
    <t>rule421</t>
  </si>
  <si>
    <t>rule422</t>
  </si>
  <si>
    <t>rule422b</t>
  </si>
  <si>
    <t>rule423</t>
  </si>
  <si>
    <t>rule424</t>
  </si>
  <si>
    <t>rule425</t>
  </si>
  <si>
    <t>rule426</t>
  </si>
  <si>
    <t>rule427</t>
  </si>
  <si>
    <t>rule428</t>
  </si>
  <si>
    <t>rule429</t>
  </si>
  <si>
    <t>rule430</t>
  </si>
  <si>
    <t>rule430b</t>
  </si>
  <si>
    <t>rule430c</t>
  </si>
  <si>
    <t>rule431</t>
  </si>
  <si>
    <t>rule432</t>
  </si>
  <si>
    <t>rule433</t>
  </si>
  <si>
    <t>rule433b</t>
  </si>
  <si>
    <t>rule433c</t>
  </si>
  <si>
    <t>rule433d</t>
  </si>
  <si>
    <t>rule433r</t>
  </si>
  <si>
    <t>rule434</t>
  </si>
  <si>
    <t>rule435</t>
  </si>
  <si>
    <t>rule435r</t>
  </si>
  <si>
    <t>rule436</t>
  </si>
  <si>
    <t>imitate</t>
  </si>
  <si>
    <t>rule305</t>
  </si>
  <si>
    <t>rule305b</t>
  </si>
  <si>
    <t>rule305c</t>
  </si>
  <si>
    <t>rule306</t>
  </si>
  <si>
    <t>rule307</t>
  </si>
  <si>
    <t>rule308</t>
  </si>
  <si>
    <t>rule401</t>
  </si>
  <si>
    <t>rule405</t>
  </si>
  <si>
    <t>rule405c3</t>
  </si>
  <si>
    <t>rule405c4</t>
  </si>
  <si>
    <t>rule405c6</t>
  </si>
  <si>
    <t>rule411</t>
  </si>
  <si>
    <t>rule412</t>
  </si>
  <si>
    <t>rule413</t>
  </si>
  <si>
    <t>rule414</t>
  </si>
  <si>
    <t>rule415</t>
  </si>
  <si>
    <t>rule417</t>
  </si>
  <si>
    <t>rule418</t>
  </si>
  <si>
    <t>fileName</t>
  </si>
  <si>
    <t>date</t>
  </si>
  <si>
    <t>description</t>
  </si>
  <si>
    <t>status</t>
  </si>
  <si>
    <t>publicScore</t>
  </si>
  <si>
    <t>privateScore</t>
  </si>
  <si>
    <t>None</t>
  </si>
  <si>
    <t>complete</t>
  </si>
  <si>
    <t>rule403</t>
  </si>
  <si>
    <t>rule437</t>
  </si>
  <si>
    <t>rule438</t>
  </si>
  <si>
    <t>rule439</t>
  </si>
  <si>
    <t>rule440</t>
  </si>
  <si>
    <t>rule440b</t>
  </si>
  <si>
    <t>447c</t>
  </si>
  <si>
    <t>451b</t>
  </si>
  <si>
    <t>imit2</t>
  </si>
  <si>
    <t>465b</t>
  </si>
  <si>
    <t>imit3</t>
  </si>
  <si>
    <t>466b</t>
  </si>
  <si>
    <t>467b</t>
  </si>
  <si>
    <t>488d</t>
  </si>
  <si>
    <t>488b</t>
  </si>
  <si>
    <t>488c</t>
  </si>
  <si>
    <t>488bc</t>
  </si>
  <si>
    <t>502b</t>
  </si>
  <si>
    <t>502c</t>
  </si>
  <si>
    <t>502x</t>
  </si>
  <si>
    <t>504b</t>
  </si>
  <si>
    <t>510b</t>
  </si>
  <si>
    <t>kaggle competitions submissions -v -c lux-ai-2021 | grep -v error | clip</t>
  </si>
  <si>
    <t>510c</t>
  </si>
  <si>
    <t>Test</t>
  </si>
  <si>
    <t>514b</t>
  </si>
  <si>
    <t>imit4</t>
  </si>
  <si>
    <t>SUM2</t>
  </si>
  <si>
    <t>m1</t>
  </si>
  <si>
    <t>m2</t>
  </si>
  <si>
    <t>m3</t>
  </si>
  <si>
    <t>m4</t>
  </si>
  <si>
    <t>m0</t>
  </si>
  <si>
    <t>s.rule518.tar.gz</t>
  </si>
  <si>
    <t>s.rule517.tar.gz</t>
  </si>
  <si>
    <t>s.rulem4.tar.gz</t>
  </si>
  <si>
    <t>m5</t>
  </si>
  <si>
    <t>s.rule519.tar.gz</t>
  </si>
  <si>
    <t>s.rulem5.tar.gz</t>
  </si>
  <si>
    <t>511m</t>
  </si>
  <si>
    <t>s.rule511m.tar.gz</t>
  </si>
  <si>
    <t>m6</t>
  </si>
  <si>
    <t>s.rule520.tar.gz</t>
  </si>
  <si>
    <t>s.rule521.tar.gz</t>
  </si>
  <si>
    <t>s.rulem6.tar.gz</t>
  </si>
  <si>
    <t>519q</t>
  </si>
  <si>
    <t>521q</t>
  </si>
  <si>
    <t>s.rule521q.tar.gz</t>
  </si>
  <si>
    <t>s.rule519q.tar.gz</t>
  </si>
  <si>
    <t>511q</t>
  </si>
  <si>
    <t>s.rule511q.tar.gz</t>
  </si>
  <si>
    <t>s.rule520q.tar.gz</t>
  </si>
  <si>
    <t>520q</t>
  </si>
  <si>
    <t>s.rule522.tar.gz</t>
  </si>
  <si>
    <t>s.rule523.tar.gz</t>
  </si>
  <si>
    <t>s.rule524.tar.gz</t>
  </si>
  <si>
    <t>max</t>
  </si>
  <si>
    <t>avg</t>
  </si>
  <si>
    <t>diff</t>
  </si>
  <si>
    <t>subMax</t>
  </si>
  <si>
    <t>A146</t>
  </si>
  <si>
    <t>.tar.gz)</t>
  </si>
  <si>
    <t>Sheet1!$E$1:$E$100)</t>
  </si>
  <si>
    <t>fixed</t>
  </si>
  <si>
    <t>s.rule524c.tar.gz</t>
  </si>
  <si>
    <t>s.rule524b.tar.gz</t>
  </si>
  <si>
    <t>524b</t>
  </si>
  <si>
    <t>524c</t>
  </si>
  <si>
    <t>#</t>
  </si>
  <si>
    <t>s.rule524d.tar.gz</t>
  </si>
  <si>
    <t>524d</t>
  </si>
  <si>
    <t>621q</t>
  </si>
  <si>
    <t>721q</t>
  </si>
  <si>
    <t>s.rule721q.tar.gz</t>
  </si>
  <si>
    <t>s.rule621q.tar.gz</t>
  </si>
  <si>
    <t>s.rule624.tar.gz</t>
  </si>
  <si>
    <t>624x</t>
  </si>
  <si>
    <t>620q</t>
  </si>
  <si>
    <t>s.rule620q.tar.gz</t>
  </si>
  <si>
    <t>s.rule624x.tar.gz</t>
  </si>
  <si>
    <t>s.rule625.tar.gz</t>
  </si>
  <si>
    <t>s.rule525.tar.gz</t>
  </si>
  <si>
    <t>625b</t>
  </si>
  <si>
    <t>525b</t>
  </si>
  <si>
    <t>s.rule625b.tar.gz</t>
  </si>
  <si>
    <t>s.rule525b.tar.gz</t>
  </si>
  <si>
    <t>725b</t>
  </si>
  <si>
    <t>s.rule725b.tar.gz</t>
  </si>
  <si>
    <t>s.r725b7971.tar.gz</t>
  </si>
  <si>
    <t>s.r725b7966.tar.gz</t>
  </si>
  <si>
    <t>725b7966</t>
  </si>
  <si>
    <t>725b7971</t>
  </si>
  <si>
    <t>s.rulem7.tar.gz</t>
  </si>
  <si>
    <t>m7</t>
  </si>
  <si>
    <t>625c</t>
  </si>
  <si>
    <t>s.rule625c.tar.gz</t>
  </si>
  <si>
    <t>725b79712</t>
  </si>
  <si>
    <t>s.r725b79712.tar.gz</t>
  </si>
  <si>
    <t>s.r725b7988.tar.gz</t>
  </si>
  <si>
    <t>725b7988</t>
  </si>
  <si>
    <t>725b7990</t>
  </si>
  <si>
    <t>s.r725b7990.tar.gz</t>
  </si>
  <si>
    <t>Public Score</t>
  </si>
  <si>
    <t>View</t>
  </si>
  <si>
    <t>more</t>
  </si>
  <si>
    <t>rulem0.tar.gz</t>
  </si>
  <si>
    <t>s.rule512.tar.gz</t>
  </si>
  <si>
    <t>s.rule514b.tar.gz</t>
  </si>
  <si>
    <t>s.rule514.tar.gz</t>
  </si>
  <si>
    <t>s.rule513.tar.gz</t>
  </si>
  <si>
    <t>s.rule511.tar.gz</t>
  </si>
  <si>
    <t>s.rule509.tar.gz</t>
  </si>
  <si>
    <t>s.rule510c.tar.gz</t>
  </si>
  <si>
    <t>s.rule510b.tar.gz</t>
  </si>
  <si>
    <t>s.rule506.tar.gz</t>
  </si>
  <si>
    <t>s.rule505.tar.gz</t>
  </si>
  <si>
    <t>s.rule507.tar.gz</t>
  </si>
  <si>
    <t>s.rule502b.tar.gz</t>
  </si>
  <si>
    <t>s.rule501b.tar.gz</t>
  </si>
  <si>
    <t>s.rule501.tar.gz</t>
  </si>
  <si>
    <t>s.rule499.tar.gz</t>
  </si>
  <si>
    <t>s.rule498.tar.gz</t>
  </si>
  <si>
    <t>s.rule496.tar.gz</t>
  </si>
  <si>
    <t>s.rule494.tar.gz</t>
  </si>
  <si>
    <t>s.rule493.tar.gz</t>
  </si>
  <si>
    <t>s.rule492.tar.gz</t>
  </si>
  <si>
    <t>s.rule491.tar.gz</t>
  </si>
  <si>
    <t>s.rule490.tar.gz</t>
  </si>
  <si>
    <t>s.rule489.tar.gz</t>
  </si>
  <si>
    <t>s.rule484.tar.gz</t>
  </si>
  <si>
    <t>s.rule488d.tar.gz</t>
  </si>
  <si>
    <t>s.rule488.tar.gz</t>
  </si>
  <si>
    <t>s.rule487.tar.gz</t>
  </si>
  <si>
    <t>s.rule483.tar.gz</t>
  </si>
  <si>
    <t>s.rule482.tar.gz</t>
  </si>
  <si>
    <t>s.rule480.tar.gz</t>
  </si>
  <si>
    <t>s.rule479.tar.gz</t>
  </si>
  <si>
    <t>s.rule478.tar.gz</t>
  </si>
  <si>
    <t>s.rule477.tar.gz</t>
  </si>
  <si>
    <t>s.rule475.tar.gz</t>
  </si>
  <si>
    <t>s.rule474.tar.gz</t>
  </si>
  <si>
    <t>s.rule473.tar.gz</t>
  </si>
  <si>
    <t>s.rule472.tar.gz</t>
  </si>
  <si>
    <t>s.rule471.tar.gz</t>
  </si>
  <si>
    <t>s.rule470.tar.gz</t>
  </si>
  <si>
    <t>s.rule468.tar.gz</t>
  </si>
  <si>
    <t>s.rule467.tar.gz</t>
  </si>
  <si>
    <t>s.rule466b.tar.gz</t>
  </si>
  <si>
    <t>s.rule466.tar.gz</t>
  </si>
  <si>
    <t>s.rule464.tar.gz</t>
  </si>
  <si>
    <t>s.rule463.tar.gz</t>
  </si>
  <si>
    <t>s.rule461.tar.gz</t>
  </si>
  <si>
    <t>s.rule460.tar.gz</t>
  </si>
  <si>
    <t>s.rule459.tar.gz</t>
  </si>
  <si>
    <t>s.rule458.tar.gz</t>
  </si>
  <si>
    <t>s.rule454b.tar.gz</t>
  </si>
  <si>
    <t>s.rule457.tar.gz</t>
  </si>
  <si>
    <t>s.rule456.tar.gz</t>
  </si>
  <si>
    <t>s.rule455.tar.gz</t>
  </si>
  <si>
    <t>s.rule454.tar.gz</t>
  </si>
  <si>
    <t>s.rule451bnf3.tar.gz</t>
  </si>
  <si>
    <t>s.rule453.tar.gz</t>
  </si>
  <si>
    <t>s.rule452.tar.gz</t>
  </si>
  <si>
    <t>s.rule450.tar.gz</t>
  </si>
  <si>
    <t>s.rule451bnf2.tar.gz</t>
  </si>
  <si>
    <t>s.rule451b.tar.gz</t>
  </si>
  <si>
    <t>s.rule451.tar.gz</t>
  </si>
  <si>
    <t>s.rule446.tar.gz</t>
  </si>
  <si>
    <t>s.rule444.tar.gz</t>
  </si>
  <si>
    <t>s.rule445.tar.gz</t>
  </si>
  <si>
    <t>s.rule443.tar.gz</t>
  </si>
  <si>
    <t>s.rule441.tar.gz</t>
  </si>
  <si>
    <t>s.rule438.tar.gz</t>
  </si>
  <si>
    <t>s.rule439.tar.gz</t>
  </si>
  <si>
    <t>s.rule437.tar.gz</t>
  </si>
  <si>
    <t>s.rule435.tar.gz</t>
  </si>
  <si>
    <t>s.rule433.tar.gz</t>
  </si>
  <si>
    <t>s.rule430c.tar.gz</t>
  </si>
  <si>
    <t>s.rule430b.tar.gz</t>
  </si>
  <si>
    <t>s.rule431.tar.gz</t>
  </si>
  <si>
    <t>s.rule430.tar.gz</t>
  </si>
  <si>
    <t>s.rule422b.tar.gz</t>
  </si>
  <si>
    <t>s.rule422.tar.gz</t>
  </si>
  <si>
    <t>s.rule419.tar.gz</t>
  </si>
  <si>
    <t>s.rule405x.tar.gz</t>
  </si>
  <si>
    <t>s.rule418.tar.gz</t>
  </si>
  <si>
    <t>s.rule417.tar.gz</t>
  </si>
  <si>
    <t>s.rule416.tar.gz</t>
  </si>
  <si>
    <t>s.rule415.tar.gz</t>
  </si>
  <si>
    <t>s.rule405c3.tar.gz</t>
  </si>
  <si>
    <t>s.rule413.tar.gz</t>
  </si>
  <si>
    <t>s.rule405c4.tar.gz</t>
  </si>
  <si>
    <t>s.rule414.tar.gz</t>
  </si>
  <si>
    <t>s.rule411.tar.gz</t>
  </si>
  <si>
    <t>s.rule404.tar.gz</t>
  </si>
  <si>
    <t>s.rule305b.tar.gz</t>
  </si>
  <si>
    <t>s.rule403.tar.gz</t>
  </si>
  <si>
    <t>s.rule402b.tar.gz</t>
  </si>
  <si>
    <t>s.rule401.tar.gz</t>
  </si>
  <si>
    <t>s.rule306.tar.gz</t>
  </si>
  <si>
    <t>s.rule30.tar.gz</t>
  </si>
  <si>
    <t>s.rule305.tar.gz</t>
  </si>
  <si>
    <t>s.rule303.tar.gz</t>
  </si>
  <si>
    <t>s.rule304.tar.gz</t>
  </si>
  <si>
    <t>s.rule29210.tar.gz</t>
  </si>
  <si>
    <t>s.rule27d8.tar.gz</t>
  </si>
  <si>
    <t>s.rule29-0-1-2.tar.gz</t>
  </si>
  <si>
    <t>s.rule29-0-1.tar.gz</t>
  </si>
  <si>
    <t>s.rule292.tar.gz</t>
  </si>
  <si>
    <t>s.rule291.tar.gz</t>
  </si>
  <si>
    <t>s.rule290.tar.gz</t>
  </si>
  <si>
    <t>s282.rule28.tar.gz</t>
  </si>
  <si>
    <t>rule28.281.bigger_cluster.tar.gz</t>
  </si>
  <si>
    <t>submission.rule28.tar.gz</t>
  </si>
  <si>
    <t>submission.rule27e.tar.gz</t>
  </si>
  <si>
    <t>submission.rule27d.tar.gz</t>
  </si>
  <si>
    <t>submission.rule27.tar.gz</t>
  </si>
  <si>
    <t>submission.rule26.tar.gz</t>
  </si>
  <si>
    <t>725b8050</t>
  </si>
  <si>
    <t>s.r725b8050.tar.gz</t>
  </si>
  <si>
    <t>525b_1216_1216_48</t>
  </si>
  <si>
    <t>s.rule525b_1216_1216_48.tar.gz</t>
  </si>
  <si>
    <t>s.sub_8050.tar.gz</t>
  </si>
  <si>
    <t>s.rule525b_12_1216_48.tar.gz</t>
  </si>
  <si>
    <t>825b</t>
  </si>
  <si>
    <t>s.rule825b.tar.gz</t>
  </si>
  <si>
    <t>model2_48_7905</t>
  </si>
  <si>
    <t>825b8184</t>
  </si>
  <si>
    <t>s.rule825b8184.tar.gz</t>
  </si>
  <si>
    <t>525b2</t>
  </si>
  <si>
    <t>525b3</t>
  </si>
  <si>
    <t>s.rule525b3.tar.gz</t>
  </si>
  <si>
    <t>s.rule525b2.tar.gz</t>
  </si>
  <si>
    <t>525b4</t>
  </si>
  <si>
    <t>s.rule525b4.tar.gz</t>
  </si>
  <si>
    <t>525b_12_1216_48</t>
  </si>
  <si>
    <t>s.rule825b8182.tar.gz</t>
  </si>
  <si>
    <t>score</t>
  </si>
  <si>
    <t>Submission</t>
  </si>
  <si>
    <t>and</t>
  </si>
  <si>
    <t>submission</t>
  </si>
  <si>
    <t>a</t>
  </si>
  <si>
    <t>to</t>
  </si>
  <si>
    <t>see</t>
  </si>
  <si>
    <t>outcome</t>
  </si>
  <si>
    <t>enemy</t>
  </si>
  <si>
    <t>occupied</t>
  </si>
  <si>
    <t>cluster</t>
  </si>
  <si>
    <t>as</t>
  </si>
  <si>
    <t>part</t>
  </si>
  <si>
    <t>of</t>
  </si>
  <si>
    <t>the</t>
  </si>
  <si>
    <t>heuristic</t>
  </si>
  <si>
    <t>move</t>
  </si>
  <si>
    <t>from</t>
  </si>
  <si>
    <t>one</t>
  </si>
  <si>
    <t>another</t>
  </si>
  <si>
    <t>-</t>
  </si>
  <si>
    <t>changes</t>
  </si>
  <si>
    <t>in</t>
  </si>
  <si>
    <t>r301</t>
  </si>
  <si>
    <t>aggressive</t>
  </si>
  <si>
    <t>going</t>
  </si>
  <si>
    <t>opponent</t>
  </si>
  <si>
    <t>clusters</t>
  </si>
  <si>
    <t>*</t>
  </si>
  <si>
    <t>Optimized</t>
  </si>
  <si>
    <t>end</t>
  </si>
  <si>
    <t>game</t>
  </si>
  <si>
    <t>for</t>
  </si>
  <si>
    <t>building</t>
  </si>
  <si>
    <t>cities.*</t>
  </si>
  <si>
    <t>Fixed</t>
  </si>
  <si>
    <t>out</t>
  </si>
  <si>
    <t>map</t>
  </si>
  <si>
    <t>movements</t>
  </si>
  <si>
    <t>only</t>
  </si>
  <si>
    <t>based</t>
  </si>
  <si>
    <t>on</t>
  </si>
  <si>
    <t>next</t>
  </si>
  <si>
    <t>rather</t>
  </si>
  <si>
    <t>than</t>
  </si>
  <si>
    <t>distance</t>
  </si>
  <si>
    <t>+</t>
  </si>
  <si>
    <t>optimized</t>
  </si>
  <si>
    <t>resources</t>
  </si>
  <si>
    <t>attribution</t>
  </si>
  <si>
    <t>minable</t>
  </si>
  <si>
    <t>(in</t>
  </si>
  <si>
    <t>theory</t>
  </si>
  <si>
    <t>business</t>
  </si>
  <si>
    <t>equivalent</t>
  </si>
  <si>
    <t>27d)</t>
  </si>
  <si>
    <t>(double</t>
  </si>
  <si>
    <t>mistake)</t>
  </si>
  <si>
    <t>submission.rule27d</t>
  </si>
  <si>
    <t>try</t>
  </si>
  <si>
    <t>again</t>
  </si>
  <si>
    <t>with</t>
  </si>
  <si>
    <t>famous</t>
  </si>
  <si>
    <t>27d!</t>
  </si>
  <si>
    <t>be</t>
  </si>
  <si>
    <t>within</t>
  </si>
  <si>
    <t>our</t>
  </si>
  <si>
    <t>num_hostiles_within2</t>
  </si>
  <si>
    <t>&gt;</t>
  </si>
  <si>
    <t>way</t>
  </si>
  <si>
    <t>we</t>
  </si>
  <si>
    <t>walk</t>
  </si>
  <si>
    <t>when</t>
  </si>
  <si>
    <t>travelling</t>
  </si>
  <si>
    <t>or</t>
  </si>
  <si>
    <t>bigger</t>
  </si>
  <si>
    <t>every</t>
  </si>
  <si>
    <t>type</t>
  </si>
  <si>
    <t>resource</t>
  </si>
  <si>
    <t>825b8182</t>
  </si>
  <si>
    <t>525b5</t>
  </si>
  <si>
    <t>s.rule525b5.tar.gz</t>
  </si>
  <si>
    <t>525b53</t>
  </si>
  <si>
    <t>s.rule525b53.tar.gz</t>
  </si>
  <si>
    <t>s.rule529_7809.tar.gz</t>
  </si>
  <si>
    <t>s.rule528_7809.tar.gz</t>
  </si>
  <si>
    <t>s.rule527_7809.tar.gz</t>
  </si>
  <si>
    <t>527_7809</t>
  </si>
  <si>
    <t>528_7809</t>
  </si>
  <si>
    <t>529_7809</t>
  </si>
  <si>
    <t>m8</t>
  </si>
  <si>
    <t>s.rulem8.tar.gz</t>
  </si>
  <si>
    <t>529_7950</t>
  </si>
  <si>
    <t>523_5</t>
  </si>
  <si>
    <t>s.rule523_5.tar.gz</t>
  </si>
  <si>
    <t>s.rule529_7950.tar.gz</t>
  </si>
  <si>
    <t>526_7874</t>
  </si>
  <si>
    <t>s.rule526_7874.tar.gz</t>
  </si>
  <si>
    <t>529_7990</t>
  </si>
  <si>
    <t>s.rulem8_7990.tar.gz</t>
  </si>
  <si>
    <t>s.rule529_7990.tar.gz</t>
  </si>
  <si>
    <t>m8_7990</t>
  </si>
  <si>
    <t>529_8008</t>
  </si>
  <si>
    <t>m8_8008</t>
  </si>
  <si>
    <t>529_8008b</t>
  </si>
  <si>
    <t>529_8008c</t>
  </si>
  <si>
    <t>529_8008d</t>
  </si>
  <si>
    <t>s.rule529_8008d.tar.gz</t>
  </si>
  <si>
    <t>s.rulem8_8008.tar.gz</t>
  </si>
  <si>
    <t>s.rule529_8008.tar.gz</t>
  </si>
  <si>
    <t>rule</t>
  </si>
  <si>
    <t>that</t>
  </si>
  <si>
    <t>works</t>
  </si>
  <si>
    <t>resource.*</t>
  </si>
  <si>
    <t>issue</t>
  </si>
  <si>
    <t>identification</t>
  </si>
  <si>
    <t>coal</t>
  </si>
  <si>
    <t>uranium</t>
  </si>
  <si>
    <t>are</t>
  </si>
  <si>
    <t>not</t>
  </si>
  <si>
    <t>researched</t>
  </si>
  <si>
    <t>rules</t>
  </si>
  <si>
    <t>go</t>
  </si>
  <si>
    <t>pick</t>
  </si>
  <si>
    <t>up</t>
  </si>
  <si>
    <t>new</t>
  </si>
  <si>
    <t>change</t>
  </si>
  <si>
    <t>if</t>
  </si>
  <si>
    <t>it</t>
  </si>
  <si>
    <t>does</t>
  </si>
  <si>
    <t>well</t>
  </si>
  <si>
    <t>previous</t>
  </si>
  <si>
    <t>bit</t>
  </si>
  <si>
    <t>first</t>
  </si>
  <si>
    <t>Refactored</t>
  </si>
  <si>
    <t>logicChanged</t>
  </si>
  <si>
    <t>logic</t>
  </si>
  <si>
    <t>In</t>
  </si>
  <si>
    <t>empty</t>
  </si>
  <si>
    <t>didn't</t>
  </si>
  <si>
    <t>really</t>
  </si>
  <si>
    <t>workFixed</t>
  </si>
  <si>
    <t>performance</t>
  </si>
  <si>
    <t>can</t>
  </si>
  <si>
    <t>join</t>
  </si>
  <si>
    <t>two</t>
  </si>
  <si>
    <t>cities*</t>
  </si>
  <si>
    <t>move*</t>
  </si>
  <si>
    <t>Extent</t>
  </si>
  <si>
    <t>do</t>
  </si>
  <si>
    <t>research</t>
  </si>
  <si>
    <t>isolated</t>
  </si>
  <si>
    <t>turns</t>
  </si>
  <si>
    <t>submission.rule25.tar.gz</t>
  </si>
  <si>
    <t>closest</t>
  </si>
  <si>
    <t>euristicRenamed</t>
  </si>
  <si>
    <t>closest_empty_tile</t>
  </si>
  <si>
    <t>best_adjacent_empty_tile</t>
  </si>
  <si>
    <t>tiles</t>
  </si>
  <si>
    <t>spawn</t>
  </si>
  <si>
    <t>at</t>
  </si>
  <si>
    <t>begin</t>
  </si>
  <si>
    <t>make</t>
  </si>
  <si>
    <t>sure</t>
  </si>
  <si>
    <t>city</t>
  </si>
  <si>
    <t>submission.rule24.tar.gz</t>
  </si>
  <si>
    <t>night</t>
  </si>
  <si>
    <t>already</t>
  </si>
  <si>
    <t>predilect</t>
  </si>
  <si>
    <t>saving</t>
  </si>
  <si>
    <t>spot</t>
  </si>
  <si>
    <t>is</t>
  </si>
  <si>
    <t>u&gt;6</t>
  </si>
  <si>
    <t>prefix*</t>
  </si>
  <si>
    <t>penalising</t>
  </si>
  <si>
    <t>alerted</t>
  </si>
  <si>
    <t>directions_to</t>
  </si>
  <si>
    <t>4th</t>
  </si>
  <si>
    <t>unsuccessful</t>
  </si>
  <si>
    <t>attempt</t>
  </si>
  <si>
    <t>submission.rule23.tar.gz</t>
  </si>
  <si>
    <t>something</t>
  </si>
  <si>
    <t>better</t>
  </si>
  <si>
    <t>slightly</t>
  </si>
  <si>
    <t>changed</t>
  </si>
  <si>
    <t>real</t>
  </si>
  <si>
    <t>unit</t>
  </si>
  <si>
    <t>proximity</t>
  </si>
  <si>
    <t>perimeter</t>
  </si>
  <si>
    <t>center</t>
  </si>
  <si>
    <t>favour</t>
  </si>
  <si>
    <t>most</t>
  </si>
  <si>
    <t>adjacent</t>
  </si>
  <si>
    <t>submission.rule22.tar.gz</t>
  </si>
  <si>
    <t>another*</t>
  </si>
  <si>
    <t>Do</t>
  </si>
  <si>
    <t>include</t>
  </si>
  <si>
    <t>units</t>
  </si>
  <si>
    <t>explorers</t>
  </si>
  <si>
    <t>travelers*</t>
  </si>
  <si>
    <t>bug</t>
  </si>
  <si>
    <t>uranimum</t>
  </si>
  <si>
    <t>made</t>
  </si>
  <si>
    <t>left</t>
  </si>
  <si>
    <t>right</t>
  </si>
  <si>
    <t>submission.rule21.tar.gz</t>
  </si>
  <si>
    <t>big</t>
  </si>
  <si>
    <t>around</t>
  </si>
  <si>
    <t>cities</t>
  </si>
  <si>
    <t>submission.rule20.tar.gz</t>
  </si>
  <si>
    <t>return</t>
  </si>
  <si>
    <t>traveler</t>
  </si>
  <si>
    <t>like</t>
  </si>
  <si>
    <t>across</t>
  </si>
  <si>
    <t>possible</t>
  </si>
  <si>
    <t>tiles-</t>
  </si>
  <si>
    <t>gathering</t>
  </si>
  <si>
    <t>longer</t>
  </si>
  <si>
    <t>slower</t>
  </si>
  <si>
    <t>anyway</t>
  </si>
  <si>
    <t>submission.rule18smart_traveller.tar.gz</t>
  </si>
  <si>
    <t>submission.rule18smart_resource.tar.gz</t>
  </si>
  <si>
    <t>submission.rule18smart_city.tar.gz</t>
  </si>
  <si>
    <t>submission.rule18.tar.gz</t>
  </si>
  <si>
    <t>instead</t>
  </si>
  <si>
    <t>submission.rule17b.tar.gz</t>
  </si>
  <si>
    <t>submission.rule17.tar.gz</t>
  </si>
  <si>
    <t>submission.rule16.tar.gz</t>
  </si>
  <si>
    <t>per</t>
  </si>
  <si>
    <t>reduction</t>
  </si>
  <si>
    <t>over</t>
  </si>
  <si>
    <t>target</t>
  </si>
  <si>
    <t>submission.rule15.tar.gz</t>
  </si>
  <si>
    <t>explorer</t>
  </si>
  <si>
    <t>last</t>
  </si>
  <si>
    <t>minute</t>
  </si>
  <si>
    <t>save</t>
  </si>
  <si>
    <t>submission.rule14.tar.gz</t>
  </si>
  <si>
    <t>enabled</t>
  </si>
  <si>
    <t>rush</t>
  </si>
  <si>
    <t>but</t>
  </si>
  <si>
    <t>removed</t>
  </si>
  <si>
    <t>jitter</t>
  </si>
  <si>
    <t>13b</t>
  </si>
  <si>
    <t>submission.rule13.tar.gz</t>
  </si>
  <si>
    <t>submission.rule12.tar.gz</t>
  </si>
  <si>
    <t>fix</t>
  </si>
  <si>
    <t>traveller</t>
  </si>
  <si>
    <t>force</t>
  </si>
  <si>
    <t>early</t>
  </si>
  <si>
    <t>rusher</t>
  </si>
  <si>
    <t>keep</t>
  </si>
  <si>
    <t>submission.rule11_rush_research.tar.gz</t>
  </si>
  <si>
    <t>submission.rule11.tar.gz</t>
  </si>
  <si>
    <t>improved</t>
  </si>
  <si>
    <t>path</t>
  </si>
  <si>
    <t>search</t>
  </si>
  <si>
    <t>submission.rule10.tar.gz</t>
  </si>
  <si>
    <t>submission.rule8.tar.gz</t>
  </si>
  <si>
    <t>submission.rule7.tar.gz</t>
  </si>
  <si>
    <t>submission.rule6.tar.gz</t>
  </si>
  <si>
    <t>submission.rule5.tar.gz</t>
  </si>
  <si>
    <t>submission.tar.gz</t>
  </si>
  <si>
    <t>submission.rule3.tar.gz</t>
  </si>
  <si>
    <t>529c7998</t>
  </si>
  <si>
    <t>m8c7998</t>
  </si>
  <si>
    <t>m8c7991</t>
  </si>
  <si>
    <t>529c7991</t>
  </si>
  <si>
    <t>s.rulem8c7998.tar.gz</t>
  </si>
  <si>
    <t>s.rule529c7991.tar.gz</t>
  </si>
  <si>
    <t>s.rule529c7998.tar.gz</t>
  </si>
  <si>
    <t>s.rulem8c7991.tar.gz</t>
  </si>
  <si>
    <t>s.rulem9_7990.tar.gz</t>
  </si>
  <si>
    <t>m9_7990</t>
  </si>
  <si>
    <t>error</t>
  </si>
  <si>
    <t>Description</t>
  </si>
  <si>
    <t>hours</t>
  </si>
  <si>
    <t>ago</t>
  </si>
  <si>
    <t>by</t>
  </si>
  <si>
    <t>vitoque</t>
  </si>
  <si>
    <t>add</t>
  </si>
  <si>
    <t>details</t>
  </si>
  <si>
    <t>day</t>
  </si>
  <si>
    <t>days</t>
  </si>
  <si>
    <t>identical</t>
  </si>
  <si>
    <t>month</t>
  </si>
  <si>
    <t>Mistake</t>
  </si>
  <si>
    <t>==</t>
  </si>
  <si>
    <t>Duplicate</t>
  </si>
  <si>
    <t>R304</t>
  </si>
  <si>
    <t>Also</t>
  </si>
  <si>
    <t>consider</t>
  </si>
  <si>
    <t>CRASHES</t>
  </si>
  <si>
    <t>r305:</t>
  </si>
  <si>
    <t>r303</t>
  </si>
  <si>
    <t>r304</t>
  </si>
  <si>
    <t>R303</t>
  </si>
  <si>
    <t>Move</t>
  </si>
  <si>
    <t>R300</t>
  </si>
  <si>
    <t>Chose</t>
  </si>
  <si>
    <t>290+291+292</t>
  </si>
  <si>
    <t>:</t>
  </si>
  <si>
    <t>Hostile</t>
  </si>
  <si>
    <t>27d8</t>
  </si>
  <si>
    <t>=</t>
  </si>
  <si>
    <t>290+291</t>
  </si>
  <si>
    <t>(2).tar.gz</t>
  </si>
  <si>
    <t>get_direction_to_quick</t>
  </si>
  <si>
    <t>optimised</t>
  </si>
  <si>
    <t>is_in_highly_hostile_area</t>
  </si>
  <si>
    <t>Optimised</t>
  </si>
  <si>
    <t>Added</t>
  </si>
  <si>
    <t>BUG</t>
  </si>
  <si>
    <t>months</t>
  </si>
  <si>
    <t>reverted</t>
  </si>
  <si>
    <t>incremental</t>
  </si>
  <si>
    <t>Reverted</t>
  </si>
  <si>
    <t>this</t>
  </si>
  <si>
    <t>morning</t>
  </si>
  <si>
    <t>More</t>
  </si>
  <si>
    <t>next-best-empty</t>
  </si>
  <si>
    <t>Expansion</t>
  </si>
  <si>
    <t>back</t>
  </si>
  <si>
    <t>Partially</t>
  </si>
  <si>
    <t>rolled</t>
  </si>
  <si>
    <t>Temporary</t>
  </si>
  <si>
    <t>disabled</t>
  </si>
  <si>
    <t>penalising previous alerted directions_to</t>
  </si>
  <si>
    <t>During</t>
  </si>
  <si>
    <t>overcrowded</t>
  </si>
  <si>
    <t>renamed</t>
  </si>
  <si>
    <t>log</t>
  </si>
  <si>
    <t>Alarm</t>
  </si>
  <si>
    <t>circuit</t>
  </si>
  <si>
    <t>breaker</t>
  </si>
  <si>
    <t>Skip</t>
  </si>
  <si>
    <t>returner</t>
  </si>
  <si>
    <t>role</t>
  </si>
  <si>
    <t>Improved</t>
  </si>
  <si>
    <t>algorithm</t>
  </si>
  <si>
    <t>ERROR</t>
  </si>
  <si>
    <t>Rule</t>
  </si>
  <si>
    <t>rollback:Build</t>
  </si>
  <si>
    <t>less</t>
  </si>
  <si>
    <t>non</t>
  </si>
  <si>
    <t>Avoid</t>
  </si>
  <si>
    <t>other</t>
  </si>
  <si>
    <t>Build</t>
  </si>
  <si>
    <t>Introduced</t>
  </si>
  <si>
    <t>Made</t>
  </si>
  <si>
    <t>random</t>
  </si>
  <si>
    <t>get_direction_to</t>
  </si>
  <si>
    <t>use</t>
  </si>
  <si>
    <t>attempt_direction_to</t>
  </si>
  <si>
    <t>deterministic</t>
  </si>
  <si>
    <t>transfer</t>
  </si>
  <si>
    <t>Removed</t>
  </si>
  <si>
    <t>R17</t>
  </si>
  <si>
    <t>introduced</t>
  </si>
  <si>
    <t>collision</t>
  </si>
  <si>
    <t>Increased</t>
  </si>
  <si>
    <t>worker</t>
  </si>
  <si>
    <t>spawn.Possibly</t>
  </si>
  <si>
    <t>Still</t>
  </si>
  <si>
    <t>without</t>
  </si>
  <si>
    <t>start</t>
  </si>
  <si>
    <t>b</t>
  </si>
  <si>
    <t>13.a</t>
  </si>
  <si>
    <t>small</t>
  </si>
  <si>
    <t>introduce</t>
  </si>
  <si>
    <t>With</t>
  </si>
  <si>
    <t>hassler</t>
  </si>
  <si>
    <t>rar</t>
  </si>
  <si>
    <t>m10_7962</t>
  </si>
  <si>
    <t>530_7962</t>
  </si>
  <si>
    <t>s.rule530_7962.tar.gz</t>
  </si>
  <si>
    <t>s.rulem10_7962.tar.gz</t>
  </si>
  <si>
    <t>530_8135</t>
  </si>
  <si>
    <t>m10_8135</t>
  </si>
  <si>
    <t>m10_8139</t>
  </si>
  <si>
    <t>530_8139</t>
  </si>
  <si>
    <t>530_8293</t>
  </si>
  <si>
    <t>m10_8293</t>
  </si>
  <si>
    <t>530_8305</t>
  </si>
  <si>
    <t>530_8320</t>
  </si>
  <si>
    <t>m10_8347</t>
  </si>
  <si>
    <t>m11_8347</t>
  </si>
  <si>
    <t>530_8347</t>
  </si>
  <si>
    <t>s.rulem11_8347.tar.gz</t>
  </si>
  <si>
    <t>s.rulem10_8347.tar.gz</t>
  </si>
  <si>
    <t>s.rule530_8347.tar.gz</t>
  </si>
  <si>
    <t>m11_8385</t>
  </si>
  <si>
    <t>m12_8347</t>
  </si>
  <si>
    <t>m12_8385</t>
  </si>
  <si>
    <t>s.rulem12_8385.tar.gz</t>
  </si>
  <si>
    <t>s.rulem13_8385.tar.gz</t>
  </si>
  <si>
    <t>m13_8385</t>
  </si>
  <si>
    <t>m14_8385</t>
  </si>
  <si>
    <t>s.rulem14_8385.tar.gz</t>
  </si>
  <si>
    <t>m10_8385</t>
  </si>
  <si>
    <t>m14_8385x</t>
  </si>
  <si>
    <t>s.rulem14_8385x.tar.gz</t>
  </si>
  <si>
    <t>m10_8386</t>
  </si>
  <si>
    <t>m10_8386x</t>
  </si>
  <si>
    <t>m15_8385</t>
  </si>
  <si>
    <t>m10_8402</t>
  </si>
  <si>
    <t>m10_8404</t>
  </si>
  <si>
    <t>m15_8402</t>
  </si>
  <si>
    <t>m15_8404</t>
  </si>
  <si>
    <t>m10_8385y</t>
  </si>
  <si>
    <t>m15_8402y</t>
  </si>
  <si>
    <t>s.rulem15_8402y.tar.gz</t>
  </si>
  <si>
    <t>s.rulem15_8404.tar.gz</t>
  </si>
  <si>
    <t>s.rulem15_8402.tar.gz</t>
  </si>
  <si>
    <t>s.rulem10_8402.tar.gz</t>
  </si>
  <si>
    <t>s.rulem15_8385.tar.gz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</si>
</sst>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_ ;[Red]\-0.00\ 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6" tint="-0.249977111117893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7845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9" tint="-0.49998474074526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6">
    <xf numFmtId="0" fontId="0" fillId="0" borderId="0" xfId="0"/>
    <xf numFmtId="9" fontId="0" fillId="0" borderId="0" xfId="1" applyFont="1"/>
    <xf numFmtId="0" fontId="0" fillId="0" borderId="0" xfId="0"/>
    <xf numFmtId="1" fontId="0" fillId="0" borderId="0" xfId="0" applyNumberFormat="1"/>
    <xf numFmtId="0" fontId="0" fillId="0" borderId="0" xfId="0" applyAlignment="1">
      <alignment horizontal="left" indent="1"/>
    </xf>
    <xf numFmtId="22" fontId="0" fillId="0" borderId="0" xfId="0" applyNumberFormat="1"/>
    <xf numFmtId="2" fontId="0" fillId="0" borderId="0" xfId="0" applyNumberFormat="1"/>
    <xf numFmtId="164" fontId="0" fillId="0" borderId="0" xfId="1" applyNumberFormat="1" applyFont="1"/>
    <xf numFmtId="0" fontId="0" fillId="33" borderId="0" xfId="0" applyFill="1" applyAlignment="1">
      <alignment horizontal="left" indent="1"/>
    </xf>
    <xf numFmtId="0" fontId="0" fillId="34" borderId="0" xfId="0" applyFill="1" applyAlignment="1">
      <alignment horizontal="left" indent="1"/>
    </xf>
    <xf numFmtId="0" fontId="0" fillId="0" borderId="0" xfId="0" applyFont="1"/>
    <xf numFmtId="0" fontId="0" fillId="35" borderId="0" xfId="0" applyFill="1" applyAlignment="1">
      <alignment horizontal="left" indent="1"/>
    </xf>
    <xf numFmtId="0" fontId="18" fillId="36" borderId="0" xfId="0" applyFont="1" applyFill="1" applyAlignment="1">
      <alignment horizontal="left" indent="1"/>
    </xf>
    <xf numFmtId="165" fontId="0" fillId="0" borderId="0" xfId="0" applyNumberFormat="1"/>
    <xf numFmtId="0" fontId="18" fillId="37" borderId="0" xfId="0" applyFont="1" applyFill="1" applyAlignment="1">
      <alignment horizontal="left" indent="1"/>
    </xf>
    <xf numFmtId="0" fontId="18" fillId="38" borderId="0" xfId="0" applyFont="1" applyFill="1" applyAlignment="1">
      <alignment horizontal="left" indent="1"/>
    </xf>
    <xf numFmtId="0" fontId="0" fillId="39" borderId="0" xfId="0" applyFont="1" applyFill="1" applyAlignment="1">
      <alignment horizontal="left" indent="1"/>
    </xf>
    <xf numFmtId="0" fontId="0" fillId="40" borderId="0" xfId="0" applyFont="1" applyFill="1" applyAlignment="1">
      <alignment horizontal="left" indent="1"/>
    </xf>
    <xf numFmtId="0" fontId="19" fillId="0" borderId="0" xfId="0" applyFont="1"/>
    <xf numFmtId="1" fontId="20" fillId="0" borderId="0" xfId="0" applyNumberFormat="1" applyFont="1"/>
    <xf numFmtId="0" fontId="0" fillId="41" borderId="0" xfId="0" applyFont="1" applyFill="1" applyAlignment="1">
      <alignment horizontal="left" indent="1"/>
    </xf>
    <xf numFmtId="0" fontId="0" fillId="0" borderId="0" xfId="0" applyFont="1" applyFill="1"/>
    <xf numFmtId="0" fontId="0" fillId="0" borderId="0" xfId="0" applyFill="1"/>
    <xf numFmtId="46" fontId="0" fillId="0" borderId="0" xfId="0" applyNumberFormat="1"/>
    <xf numFmtId="0" fontId="0" fillId="42" borderId="0" xfId="0" applyFill="1" applyAlignment="1">
      <alignment horizontal="left" indent="1"/>
    </xf>
    <xf numFmtId="0" fontId="17" fillId="43" borderId="0" xfId="0" applyFont="1" applyFill="1" applyAlignment="1">
      <alignment horizontal="left" indent="1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3759"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7C80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00FF"/>
      <color rgb="FFFF7C80"/>
      <color rgb="FFD7845B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summary!$H$1</c:f>
              <c:strCache>
                <c:ptCount val="1"/>
                <c:pt idx="0">
                  <c:v>subMax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5400" cap="rnd">
                <a:solidFill>
                  <a:srgbClr val="0070C0"/>
                </a:solidFill>
                <a:prstDash val="sysDash"/>
              </a:ln>
              <a:effectLst/>
            </c:spPr>
            <c:trendlineType val="poly"/>
            <c:order val="3"/>
            <c:dispRSqr val="0"/>
            <c:dispEq val="0"/>
          </c:trendline>
          <c:yVal>
            <c:numRef>
              <c:f>summary!$H$2:$H$199</c:f>
              <c:numCache>
                <c:formatCode>0</c:formatCode>
                <c:ptCount val="197"/>
                <c:pt idx="1">
                  <c:v>1243.2</c:v>
                </c:pt>
                <c:pt idx="6">
                  <c:v>1261.0999999999999</c:v>
                </c:pt>
                <c:pt idx="7">
                  <c:v>1283.0999999999999</c:v>
                </c:pt>
                <c:pt idx="9">
                  <c:v>1308.0999999999999</c:v>
                </c:pt>
                <c:pt idx="10">
                  <c:v>1303.8</c:v>
                </c:pt>
                <c:pt idx="12">
                  <c:v>1305.2</c:v>
                </c:pt>
                <c:pt idx="14">
                  <c:v>1313.4</c:v>
                </c:pt>
                <c:pt idx="15">
                  <c:v>1328.1</c:v>
                </c:pt>
                <c:pt idx="16">
                  <c:v>1241.2</c:v>
                </c:pt>
                <c:pt idx="17">
                  <c:v>1285</c:v>
                </c:pt>
                <c:pt idx="18">
                  <c:v>1328</c:v>
                </c:pt>
                <c:pt idx="19">
                  <c:v>1278.4000000000001</c:v>
                </c:pt>
                <c:pt idx="20">
                  <c:v>1300.5999999999999</c:v>
                </c:pt>
                <c:pt idx="23">
                  <c:v>1275.8</c:v>
                </c:pt>
                <c:pt idx="24">
                  <c:v>1289.5</c:v>
                </c:pt>
                <c:pt idx="32">
                  <c:v>1292.8</c:v>
                </c:pt>
                <c:pt idx="33">
                  <c:v>1306.2</c:v>
                </c:pt>
                <c:pt idx="34">
                  <c:v>1289.2</c:v>
                </c:pt>
                <c:pt idx="35">
                  <c:v>1310.2</c:v>
                </c:pt>
                <c:pt idx="37">
                  <c:v>1293</c:v>
                </c:pt>
                <c:pt idx="42">
                  <c:v>1315.5</c:v>
                </c:pt>
                <c:pt idx="45">
                  <c:v>1308.4000000000001</c:v>
                </c:pt>
                <c:pt idx="46">
                  <c:v>1286.5</c:v>
                </c:pt>
                <c:pt idx="47">
                  <c:v>1322.9</c:v>
                </c:pt>
                <c:pt idx="50">
                  <c:v>1302.3</c:v>
                </c:pt>
                <c:pt idx="52">
                  <c:v>1343.7</c:v>
                </c:pt>
                <c:pt idx="53">
                  <c:v>1319.9</c:v>
                </c:pt>
                <c:pt idx="54">
                  <c:v>1352</c:v>
                </c:pt>
                <c:pt idx="55">
                  <c:v>1332.6</c:v>
                </c:pt>
                <c:pt idx="60">
                  <c:v>1328.4</c:v>
                </c:pt>
                <c:pt idx="61">
                  <c:v>1334.1</c:v>
                </c:pt>
                <c:pt idx="62">
                  <c:v>1322.6</c:v>
                </c:pt>
                <c:pt idx="63">
                  <c:v>1355</c:v>
                </c:pt>
                <c:pt idx="64">
                  <c:v>1316.4</c:v>
                </c:pt>
                <c:pt idx="65">
                  <c:v>1348.7</c:v>
                </c:pt>
                <c:pt idx="66">
                  <c:v>1349.3</c:v>
                </c:pt>
                <c:pt idx="67">
                  <c:v>1313.8</c:v>
                </c:pt>
                <c:pt idx="68">
                  <c:v>1304.2</c:v>
                </c:pt>
                <c:pt idx="69">
                  <c:v>1297.0999999999999</c:v>
                </c:pt>
                <c:pt idx="70">
                  <c:v>1343.5</c:v>
                </c:pt>
                <c:pt idx="71">
                  <c:v>1344.1</c:v>
                </c:pt>
                <c:pt idx="72">
                  <c:v>1340.1</c:v>
                </c:pt>
                <c:pt idx="74">
                  <c:v>1329.9</c:v>
                </c:pt>
                <c:pt idx="75">
                  <c:v>1310.5</c:v>
                </c:pt>
                <c:pt idx="78">
                  <c:v>1310</c:v>
                </c:pt>
                <c:pt idx="79">
                  <c:v>1334.3</c:v>
                </c:pt>
                <c:pt idx="80">
                  <c:v>1388.5</c:v>
                </c:pt>
                <c:pt idx="82">
                  <c:v>1317.8</c:v>
                </c:pt>
                <c:pt idx="84">
                  <c:v>1338.1</c:v>
                </c:pt>
                <c:pt idx="85">
                  <c:v>1367.7</c:v>
                </c:pt>
                <c:pt idx="86">
                  <c:v>1352.5</c:v>
                </c:pt>
                <c:pt idx="87">
                  <c:v>1334.5</c:v>
                </c:pt>
                <c:pt idx="88">
                  <c:v>1337.8</c:v>
                </c:pt>
                <c:pt idx="89">
                  <c:v>1358.7</c:v>
                </c:pt>
                <c:pt idx="91">
                  <c:v>1314.7</c:v>
                </c:pt>
                <c:pt idx="92">
                  <c:v>1367.9</c:v>
                </c:pt>
                <c:pt idx="93">
                  <c:v>1373.6</c:v>
                </c:pt>
                <c:pt idx="94">
                  <c:v>1328.9</c:v>
                </c:pt>
                <c:pt idx="96">
                  <c:v>1327.1</c:v>
                </c:pt>
                <c:pt idx="97">
                  <c:v>1368.5</c:v>
                </c:pt>
                <c:pt idx="98">
                  <c:v>1393.3</c:v>
                </c:pt>
                <c:pt idx="107">
                  <c:v>1329.2</c:v>
                </c:pt>
                <c:pt idx="108">
                  <c:v>1364.6</c:v>
                </c:pt>
                <c:pt idx="109">
                  <c:v>1373.9</c:v>
                </c:pt>
                <c:pt idx="110">
                  <c:v>1353.2</c:v>
                </c:pt>
                <c:pt idx="111">
                  <c:v>1373.5</c:v>
                </c:pt>
                <c:pt idx="112">
                  <c:v>1331.9</c:v>
                </c:pt>
                <c:pt idx="114">
                  <c:v>1332.7</c:v>
                </c:pt>
                <c:pt idx="116">
                  <c:v>1369.2</c:v>
                </c:pt>
                <c:pt idx="117">
                  <c:v>1358.8</c:v>
                </c:pt>
                <c:pt idx="119">
                  <c:v>1382.8</c:v>
                </c:pt>
                <c:pt idx="121">
                  <c:v>1434.7</c:v>
                </c:pt>
                <c:pt idx="127">
                  <c:v>1434</c:v>
                </c:pt>
                <c:pt idx="128">
                  <c:v>1394</c:v>
                </c:pt>
                <c:pt idx="129">
                  <c:v>1403.6</c:v>
                </c:pt>
                <c:pt idx="131">
                  <c:v>1424</c:v>
                </c:pt>
                <c:pt idx="133">
                  <c:v>1435.6</c:v>
                </c:pt>
                <c:pt idx="134">
                  <c:v>1394</c:v>
                </c:pt>
                <c:pt idx="135">
                  <c:v>1449.6</c:v>
                </c:pt>
                <c:pt idx="136">
                  <c:v>1473.8</c:v>
                </c:pt>
                <c:pt idx="137">
                  <c:v>1513.2</c:v>
                </c:pt>
                <c:pt idx="138">
                  <c:v>1426</c:v>
                </c:pt>
                <c:pt idx="139">
                  <c:v>1441.2</c:v>
                </c:pt>
                <c:pt idx="140">
                  <c:v>1419.7</c:v>
                </c:pt>
                <c:pt idx="141">
                  <c:v>1394.7</c:v>
                </c:pt>
                <c:pt idx="143">
                  <c:v>1475.4</c:v>
                </c:pt>
                <c:pt idx="144">
                  <c:v>1516.5</c:v>
                </c:pt>
                <c:pt idx="145">
                  <c:v>1547.6</c:v>
                </c:pt>
                <c:pt idx="146">
                  <c:v>1499.2</c:v>
                </c:pt>
                <c:pt idx="147">
                  <c:v>1523.9</c:v>
                </c:pt>
                <c:pt idx="148">
                  <c:v>1552.2</c:v>
                </c:pt>
                <c:pt idx="149">
                  <c:v>1530.2</c:v>
                </c:pt>
                <c:pt idx="150">
                  <c:v>1535.7</c:v>
                </c:pt>
                <c:pt idx="151">
                  <c:v>1530</c:v>
                </c:pt>
                <c:pt idx="152">
                  <c:v>1546</c:v>
                </c:pt>
                <c:pt idx="153">
                  <c:v>1480.1</c:v>
                </c:pt>
                <c:pt idx="154">
                  <c:v>1522.2</c:v>
                </c:pt>
                <c:pt idx="155">
                  <c:v>1578.2</c:v>
                </c:pt>
                <c:pt idx="156">
                  <c:v>1491.9</c:v>
                </c:pt>
                <c:pt idx="157">
                  <c:v>1559.1</c:v>
                </c:pt>
                <c:pt idx="158">
                  <c:v>1511.8</c:v>
                </c:pt>
                <c:pt idx="159">
                  <c:v>1489.9</c:v>
                </c:pt>
                <c:pt idx="160">
                  <c:v>1496.4</c:v>
                </c:pt>
                <c:pt idx="161">
                  <c:v>1474.8</c:v>
                </c:pt>
                <c:pt idx="162">
                  <c:v>1499.3</c:v>
                </c:pt>
                <c:pt idx="163">
                  <c:v>1512.7</c:v>
                </c:pt>
                <c:pt idx="164">
                  <c:v>1482.8</c:v>
                </c:pt>
                <c:pt idx="165">
                  <c:v>1443</c:v>
                </c:pt>
                <c:pt idx="166">
                  <c:v>1443.6</c:v>
                </c:pt>
                <c:pt idx="167">
                  <c:v>1529.7</c:v>
                </c:pt>
                <c:pt idx="168">
                  <c:v>1478</c:v>
                </c:pt>
                <c:pt idx="169">
                  <c:v>1468.8</c:v>
                </c:pt>
                <c:pt idx="170">
                  <c:v>1468.4</c:v>
                </c:pt>
                <c:pt idx="171">
                  <c:v>1552.8</c:v>
                </c:pt>
                <c:pt idx="172">
                  <c:v>1453.1</c:v>
                </c:pt>
                <c:pt idx="173">
                  <c:v>1521.6</c:v>
                </c:pt>
                <c:pt idx="174">
                  <c:v>1534.1</c:v>
                </c:pt>
                <c:pt idx="175">
                  <c:v>1501.7</c:v>
                </c:pt>
                <c:pt idx="176">
                  <c:v>1495.6</c:v>
                </c:pt>
                <c:pt idx="177">
                  <c:v>1533.6</c:v>
                </c:pt>
                <c:pt idx="178">
                  <c:v>1505.4</c:v>
                </c:pt>
                <c:pt idx="179">
                  <c:v>1533.3</c:v>
                </c:pt>
                <c:pt idx="180">
                  <c:v>1492.4</c:v>
                </c:pt>
                <c:pt idx="181">
                  <c:v>1504.6</c:v>
                </c:pt>
                <c:pt idx="182">
                  <c:v>1498.3</c:v>
                </c:pt>
                <c:pt idx="183">
                  <c:v>1478.3</c:v>
                </c:pt>
                <c:pt idx="184">
                  <c:v>1508</c:v>
                </c:pt>
                <c:pt idx="185">
                  <c:v>1445</c:v>
                </c:pt>
                <c:pt idx="186">
                  <c:v>1488.3</c:v>
                </c:pt>
                <c:pt idx="187">
                  <c:v>1470.2</c:v>
                </c:pt>
                <c:pt idx="188">
                  <c:v>1499.6</c:v>
                </c:pt>
                <c:pt idx="189">
                  <c:v>1491.5</c:v>
                </c:pt>
                <c:pt idx="190">
                  <c:v>1479.2</c:v>
                </c:pt>
                <c:pt idx="191">
                  <c:v>1451.1</c:v>
                </c:pt>
                <c:pt idx="194">
                  <c:v>1431.4</c:v>
                </c:pt>
                <c:pt idx="195">
                  <c:v>1501.8</c:v>
                </c:pt>
                <c:pt idx="196">
                  <c:v>1450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4A-461A-B9BB-D04465BE7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13456"/>
        <c:axId val="99003472"/>
      </c:scatte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>
              <a:outerShdw blurRad="50800" dist="50800" dir="5400000" algn="ctr" rotWithShape="0">
                <a:schemeClr val="bg1"/>
              </a:outerShdw>
            </a:effectLst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tx1">
                    <a:lumMod val="75000"/>
                    <a:lumOff val="25000"/>
                  </a:schemeClr>
                </a:solidFill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</c:marker>
          <c:trendline>
            <c:spPr>
              <a:ln w="19050" cap="rnd">
                <a:solidFill>
                  <a:schemeClr val="bg2">
                    <a:lumMod val="50000"/>
                  </a:schemeClr>
                </a:solidFill>
                <a:prstDash val="sysDash"/>
              </a:ln>
              <a:effectLst/>
            </c:spPr>
            <c:trendlineType val="poly"/>
            <c:order val="3"/>
            <c:dispRSqr val="0"/>
            <c:dispEq val="0"/>
          </c:trendline>
          <c:yVal>
            <c:numRef>
              <c:f>summary!$G$2:$G$199</c:f>
              <c:numCache>
                <c:formatCode>0.0%</c:formatCode>
                <c:ptCount val="197"/>
                <c:pt idx="0">
                  <c:v>0.49140625000000004</c:v>
                </c:pt>
                <c:pt idx="1">
                  <c:v>0.5458984375</c:v>
                </c:pt>
                <c:pt idx="2">
                  <c:v>0.52773437499999998</c:v>
                </c:pt>
                <c:pt idx="3">
                  <c:v>0.47324218750000002</c:v>
                </c:pt>
                <c:pt idx="4">
                  <c:v>0.4853515625</c:v>
                </c:pt>
                <c:pt idx="5">
                  <c:v>0.49140625000000004</c:v>
                </c:pt>
                <c:pt idx="6">
                  <c:v>0.50351562500000002</c:v>
                </c:pt>
                <c:pt idx="8">
                  <c:v>0.49746093749999998</c:v>
                </c:pt>
                <c:pt idx="9">
                  <c:v>0.55195312500000004</c:v>
                </c:pt>
                <c:pt idx="10">
                  <c:v>0.4853515625</c:v>
                </c:pt>
                <c:pt idx="11">
                  <c:v>0.47929687499999996</c:v>
                </c:pt>
                <c:pt idx="12">
                  <c:v>0.43691406249999998</c:v>
                </c:pt>
                <c:pt idx="13">
                  <c:v>0.44296875000000002</c:v>
                </c:pt>
                <c:pt idx="14">
                  <c:v>0.46718749999999998</c:v>
                </c:pt>
                <c:pt idx="15">
                  <c:v>0.4853515625</c:v>
                </c:pt>
                <c:pt idx="16">
                  <c:v>0.50957031249999996</c:v>
                </c:pt>
                <c:pt idx="17">
                  <c:v>0.53378906250000002</c:v>
                </c:pt>
                <c:pt idx="18">
                  <c:v>0.515625</c:v>
                </c:pt>
                <c:pt idx="19">
                  <c:v>0.53378906250000002</c:v>
                </c:pt>
                <c:pt idx="20">
                  <c:v>0.56406250000000002</c:v>
                </c:pt>
                <c:pt idx="21">
                  <c:v>0.58828124999999998</c:v>
                </c:pt>
                <c:pt idx="22">
                  <c:v>0.62460937500000002</c:v>
                </c:pt>
                <c:pt idx="23">
                  <c:v>0.61855468749999998</c:v>
                </c:pt>
                <c:pt idx="25">
                  <c:v>0.6064453125</c:v>
                </c:pt>
                <c:pt idx="26">
                  <c:v>0.59433593750000002</c:v>
                </c:pt>
                <c:pt idx="28">
                  <c:v>0.62460937500000002</c:v>
                </c:pt>
                <c:pt idx="29">
                  <c:v>0.62460937500000002</c:v>
                </c:pt>
                <c:pt idx="30">
                  <c:v>0.61250000000000004</c:v>
                </c:pt>
                <c:pt idx="31">
                  <c:v>0.63671875</c:v>
                </c:pt>
                <c:pt idx="32">
                  <c:v>0.64277343750000004</c:v>
                </c:pt>
                <c:pt idx="33">
                  <c:v>0.65488281250000002</c:v>
                </c:pt>
                <c:pt idx="34">
                  <c:v>0.64882812499999998</c:v>
                </c:pt>
                <c:pt idx="35">
                  <c:v>0.66093749999999996</c:v>
                </c:pt>
                <c:pt idx="36">
                  <c:v>0.6669921875</c:v>
                </c:pt>
                <c:pt idx="37">
                  <c:v>0.64882812499999998</c:v>
                </c:pt>
                <c:pt idx="38">
                  <c:v>0.64882812499999998</c:v>
                </c:pt>
                <c:pt idx="39">
                  <c:v>0.66093749999999996</c:v>
                </c:pt>
                <c:pt idx="40">
                  <c:v>0.66093749999999996</c:v>
                </c:pt>
                <c:pt idx="41">
                  <c:v>0.66093749999999996</c:v>
                </c:pt>
                <c:pt idx="42">
                  <c:v>0.65488281250000002</c:v>
                </c:pt>
                <c:pt idx="43">
                  <c:v>0.65488281250000002</c:v>
                </c:pt>
                <c:pt idx="44">
                  <c:v>0.60039062499999996</c:v>
                </c:pt>
                <c:pt idx="45">
                  <c:v>0.64882812499999998</c:v>
                </c:pt>
                <c:pt idx="46">
                  <c:v>0.64882812499999998</c:v>
                </c:pt>
                <c:pt idx="47">
                  <c:v>0.70332031250000004</c:v>
                </c:pt>
                <c:pt idx="48">
                  <c:v>0.70937499999999998</c:v>
                </c:pt>
                <c:pt idx="49">
                  <c:v>0.70937499999999998</c:v>
                </c:pt>
                <c:pt idx="50">
                  <c:v>0.6669921875</c:v>
                </c:pt>
                <c:pt idx="51">
                  <c:v>0.67304687500000004</c:v>
                </c:pt>
                <c:pt idx="52">
                  <c:v>0.71542968750000002</c:v>
                </c:pt>
                <c:pt idx="53">
                  <c:v>0.67304687500000004</c:v>
                </c:pt>
                <c:pt idx="54">
                  <c:v>0.67304687500000004</c:v>
                </c:pt>
                <c:pt idx="55">
                  <c:v>0.6669921875</c:v>
                </c:pt>
                <c:pt idx="56">
                  <c:v>0.60749999999999993</c:v>
                </c:pt>
                <c:pt idx="58">
                  <c:v>0.61250000000000004</c:v>
                </c:pt>
                <c:pt idx="59">
                  <c:v>0.65375000000000005</c:v>
                </c:pt>
                <c:pt idx="60">
                  <c:v>0.65874999999999995</c:v>
                </c:pt>
                <c:pt idx="61">
                  <c:v>0.66999999999999993</c:v>
                </c:pt>
                <c:pt idx="62">
                  <c:v>0.66375000000000006</c:v>
                </c:pt>
                <c:pt idx="64">
                  <c:v>0.67999999999999994</c:v>
                </c:pt>
                <c:pt idx="65">
                  <c:v>0.68125000000000002</c:v>
                </c:pt>
                <c:pt idx="66">
                  <c:v>0.67125000000000001</c:v>
                </c:pt>
                <c:pt idx="67">
                  <c:v>0.66874999999999996</c:v>
                </c:pt>
                <c:pt idx="68">
                  <c:v>0.62125000000000008</c:v>
                </c:pt>
                <c:pt idx="69">
                  <c:v>0.66749999999999998</c:v>
                </c:pt>
                <c:pt idx="70">
                  <c:v>0.67500000000000004</c:v>
                </c:pt>
                <c:pt idx="71">
                  <c:v>0.6875</c:v>
                </c:pt>
                <c:pt idx="72">
                  <c:v>0.6875</c:v>
                </c:pt>
                <c:pt idx="74">
                  <c:v>0.68125000000000002</c:v>
                </c:pt>
                <c:pt idx="75">
                  <c:v>0.66874999999999996</c:v>
                </c:pt>
                <c:pt idx="76">
                  <c:v>0.66500000000000004</c:v>
                </c:pt>
                <c:pt idx="78">
                  <c:v>0.67749999999999999</c:v>
                </c:pt>
                <c:pt idx="79">
                  <c:v>0.69</c:v>
                </c:pt>
                <c:pt idx="80">
                  <c:v>0.67625000000000002</c:v>
                </c:pt>
                <c:pt idx="82">
                  <c:v>0.67999999999999994</c:v>
                </c:pt>
                <c:pt idx="84">
                  <c:v>0.68375000000000008</c:v>
                </c:pt>
                <c:pt idx="85">
                  <c:v>0.69</c:v>
                </c:pt>
                <c:pt idx="86">
                  <c:v>0.6825</c:v>
                </c:pt>
                <c:pt idx="87">
                  <c:v>0.68375000000000008</c:v>
                </c:pt>
                <c:pt idx="88">
                  <c:v>0.69124999999999992</c:v>
                </c:pt>
                <c:pt idx="89">
                  <c:v>0.6875</c:v>
                </c:pt>
                <c:pt idx="91">
                  <c:v>0.67625000000000002</c:v>
                </c:pt>
                <c:pt idx="92">
                  <c:v>0.6825</c:v>
                </c:pt>
                <c:pt idx="93">
                  <c:v>0.6825</c:v>
                </c:pt>
                <c:pt idx="94">
                  <c:v>0.68625000000000003</c:v>
                </c:pt>
                <c:pt idx="96">
                  <c:v>0.68125000000000002</c:v>
                </c:pt>
                <c:pt idx="97">
                  <c:v>0.68625000000000003</c:v>
                </c:pt>
                <c:pt idx="98">
                  <c:v>0.70374999999999999</c:v>
                </c:pt>
                <c:pt idx="101">
                  <c:v>0.68625000000000003</c:v>
                </c:pt>
                <c:pt idx="102">
                  <c:v>0.69374999999999998</c:v>
                </c:pt>
                <c:pt idx="105">
                  <c:v>0.68500000000000005</c:v>
                </c:pt>
                <c:pt idx="107">
                  <c:v>0.68500000000000005</c:v>
                </c:pt>
                <c:pt idx="108">
                  <c:v>0.68500000000000005</c:v>
                </c:pt>
                <c:pt idx="109">
                  <c:v>0.72</c:v>
                </c:pt>
                <c:pt idx="110">
                  <c:v>0.70750000000000002</c:v>
                </c:pt>
                <c:pt idx="111">
                  <c:v>0.70500000000000007</c:v>
                </c:pt>
                <c:pt idx="112">
                  <c:v>0.70625000000000004</c:v>
                </c:pt>
                <c:pt idx="114">
                  <c:v>0.72625000000000006</c:v>
                </c:pt>
                <c:pt idx="116">
                  <c:v>0.72499999999999998</c:v>
                </c:pt>
                <c:pt idx="117">
                  <c:v>0.72499999999999998</c:v>
                </c:pt>
                <c:pt idx="119">
                  <c:v>0.72625000000000006</c:v>
                </c:pt>
                <c:pt idx="121">
                  <c:v>0.72124999999999995</c:v>
                </c:pt>
                <c:pt idx="124">
                  <c:v>0.72124999999999995</c:v>
                </c:pt>
                <c:pt idx="125">
                  <c:v>0.71750000000000003</c:v>
                </c:pt>
                <c:pt idx="126">
                  <c:v>0.72124999999999995</c:v>
                </c:pt>
                <c:pt idx="127">
                  <c:v>0.74124999999999996</c:v>
                </c:pt>
                <c:pt idx="128">
                  <c:v>0.745</c:v>
                </c:pt>
                <c:pt idx="129">
                  <c:v>0.72750000000000004</c:v>
                </c:pt>
                <c:pt idx="130">
                  <c:v>0.72750000000000004</c:v>
                </c:pt>
                <c:pt idx="131">
                  <c:v>0.73875000000000002</c:v>
                </c:pt>
                <c:pt idx="132">
                  <c:v>0.72875000000000001</c:v>
                </c:pt>
                <c:pt idx="133">
                  <c:v>0.74625000000000008</c:v>
                </c:pt>
                <c:pt idx="134">
                  <c:v>0.74625000000000008</c:v>
                </c:pt>
                <c:pt idx="135">
                  <c:v>0.74750000000000005</c:v>
                </c:pt>
                <c:pt idx="136">
                  <c:v>0.83499999999999996</c:v>
                </c:pt>
                <c:pt idx="137">
                  <c:v>0.82499999999999996</c:v>
                </c:pt>
                <c:pt idx="138">
                  <c:v>0.74875000000000003</c:v>
                </c:pt>
                <c:pt idx="139">
                  <c:v>0.74750000000000005</c:v>
                </c:pt>
                <c:pt idx="140">
                  <c:v>0.76500000000000001</c:v>
                </c:pt>
                <c:pt idx="141">
                  <c:v>0.77500000000000002</c:v>
                </c:pt>
                <c:pt idx="142">
                  <c:v>0.83875</c:v>
                </c:pt>
                <c:pt idx="143">
                  <c:v>0.82874999999999999</c:v>
                </c:pt>
                <c:pt idx="144">
                  <c:v>0.82874999999999999</c:v>
                </c:pt>
                <c:pt idx="145">
                  <c:v>0.85125000000000006</c:v>
                </c:pt>
                <c:pt idx="146">
                  <c:v>0.85375000000000001</c:v>
                </c:pt>
                <c:pt idx="147">
                  <c:v>0.85499999999999998</c:v>
                </c:pt>
                <c:pt idx="148">
                  <c:v>0.85</c:v>
                </c:pt>
                <c:pt idx="149">
                  <c:v>0.85750000000000004</c:v>
                </c:pt>
                <c:pt idx="150">
                  <c:v>0.85624999999999996</c:v>
                </c:pt>
                <c:pt idx="151">
                  <c:v>0.85875000000000001</c:v>
                </c:pt>
                <c:pt idx="152">
                  <c:v>0.87250000000000005</c:v>
                </c:pt>
                <c:pt idx="153">
                  <c:v>0.85375000000000001</c:v>
                </c:pt>
                <c:pt idx="154">
                  <c:v>0.85750000000000004</c:v>
                </c:pt>
                <c:pt idx="155">
                  <c:v>0.86</c:v>
                </c:pt>
                <c:pt idx="156">
                  <c:v>0.86250000000000004</c:v>
                </c:pt>
                <c:pt idx="157">
                  <c:v>0.87</c:v>
                </c:pt>
                <c:pt idx="158">
                  <c:v>0.87</c:v>
                </c:pt>
                <c:pt idx="159">
                  <c:v>0.86499999999999999</c:v>
                </c:pt>
                <c:pt idx="160">
                  <c:v>0.87</c:v>
                </c:pt>
                <c:pt idx="161">
                  <c:v>0.85875000000000001</c:v>
                </c:pt>
                <c:pt idx="162">
                  <c:v>0.85750000000000004</c:v>
                </c:pt>
                <c:pt idx="163">
                  <c:v>0.84499999999999997</c:v>
                </c:pt>
                <c:pt idx="164">
                  <c:v>0.85375000000000001</c:v>
                </c:pt>
                <c:pt idx="165">
                  <c:v>0.85375000000000001</c:v>
                </c:pt>
                <c:pt idx="166">
                  <c:v>0.84250000000000003</c:v>
                </c:pt>
                <c:pt idx="167">
                  <c:v>0.88</c:v>
                </c:pt>
                <c:pt idx="168">
                  <c:v>0.83374999999999999</c:v>
                </c:pt>
                <c:pt idx="169">
                  <c:v>0.86749999999999994</c:v>
                </c:pt>
                <c:pt idx="170">
                  <c:v>0.90125</c:v>
                </c:pt>
                <c:pt idx="171">
                  <c:v>0.85125000000000006</c:v>
                </c:pt>
                <c:pt idx="172">
                  <c:v>0.85125000000000006</c:v>
                </c:pt>
                <c:pt idx="173">
                  <c:v>0.85750000000000004</c:v>
                </c:pt>
                <c:pt idx="174">
                  <c:v>0.85375000000000001</c:v>
                </c:pt>
                <c:pt idx="175">
                  <c:v>0.86749999999999994</c:v>
                </c:pt>
                <c:pt idx="176">
                  <c:v>0.86124999999999996</c:v>
                </c:pt>
                <c:pt idx="177">
                  <c:v>0.83875</c:v>
                </c:pt>
                <c:pt idx="178">
                  <c:v>0.86250000000000004</c:v>
                </c:pt>
                <c:pt idx="179">
                  <c:v>0.88124999999999998</c:v>
                </c:pt>
                <c:pt idx="180">
                  <c:v>0.88124999999999998</c:v>
                </c:pt>
                <c:pt idx="181">
                  <c:v>0.875</c:v>
                </c:pt>
                <c:pt idx="182">
                  <c:v>0.86250000000000004</c:v>
                </c:pt>
                <c:pt idx="183">
                  <c:v>0.86624999999999996</c:v>
                </c:pt>
                <c:pt idx="184">
                  <c:v>0.86499999999999999</c:v>
                </c:pt>
                <c:pt idx="185">
                  <c:v>0.85875000000000001</c:v>
                </c:pt>
                <c:pt idx="186">
                  <c:v>0.86875000000000002</c:v>
                </c:pt>
                <c:pt idx="187">
                  <c:v>0.88</c:v>
                </c:pt>
                <c:pt idx="188">
                  <c:v>0.88</c:v>
                </c:pt>
                <c:pt idx="189">
                  <c:v>0.86624999999999996</c:v>
                </c:pt>
                <c:pt idx="190">
                  <c:v>0.88875000000000004</c:v>
                </c:pt>
                <c:pt idx="191">
                  <c:v>0.89874999999999994</c:v>
                </c:pt>
                <c:pt idx="192">
                  <c:v>0.88250000000000006</c:v>
                </c:pt>
                <c:pt idx="193">
                  <c:v>0.89249999999999996</c:v>
                </c:pt>
                <c:pt idx="194">
                  <c:v>0.88250000000000006</c:v>
                </c:pt>
                <c:pt idx="195">
                  <c:v>0.87124999999999997</c:v>
                </c:pt>
                <c:pt idx="196">
                  <c:v>0.86875000000000002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24A-461A-B9BB-D04465BE7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07872"/>
        <c:axId val="74616192"/>
      </c:scatterChart>
      <c:valAx>
        <c:axId val="9901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03472"/>
        <c:crosses val="autoZero"/>
        <c:crossBetween val="midCat"/>
      </c:valAx>
      <c:valAx>
        <c:axId val="99003472"/>
        <c:scaling>
          <c:orientation val="minMax"/>
          <c:max val="1600"/>
          <c:min val="1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13456"/>
        <c:crosses val="autoZero"/>
        <c:crossBetween val="midCat"/>
      </c:valAx>
      <c:valAx>
        <c:axId val="74616192"/>
        <c:scaling>
          <c:orientation val="minMax"/>
          <c:max val="1.2"/>
          <c:min val="0.60000000000000009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accent3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3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07872"/>
        <c:crosses val="max"/>
        <c:crossBetween val="midCat"/>
      </c:valAx>
      <c:valAx>
        <c:axId val="74607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4616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score vs %win imitate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summary!$H$1</c:f>
              <c:strCache>
                <c:ptCount val="1"/>
                <c:pt idx="0">
                  <c:v>subMax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summary!$G$2:$G$199</c:f>
              <c:numCache>
                <c:formatCode>0.0%</c:formatCode>
                <c:ptCount val="197"/>
                <c:pt idx="0">
                  <c:v>0.49140625000000004</c:v>
                </c:pt>
                <c:pt idx="1">
                  <c:v>0.5458984375</c:v>
                </c:pt>
                <c:pt idx="2">
                  <c:v>0.52773437499999998</c:v>
                </c:pt>
                <c:pt idx="3">
                  <c:v>0.47324218750000002</c:v>
                </c:pt>
                <c:pt idx="4">
                  <c:v>0.4853515625</c:v>
                </c:pt>
                <c:pt idx="5">
                  <c:v>0.49140625000000004</c:v>
                </c:pt>
                <c:pt idx="6">
                  <c:v>0.50351562500000002</c:v>
                </c:pt>
                <c:pt idx="8">
                  <c:v>0.49746093749999998</c:v>
                </c:pt>
                <c:pt idx="9">
                  <c:v>0.55195312500000004</c:v>
                </c:pt>
                <c:pt idx="10">
                  <c:v>0.4853515625</c:v>
                </c:pt>
                <c:pt idx="11">
                  <c:v>0.47929687499999996</c:v>
                </c:pt>
                <c:pt idx="12">
                  <c:v>0.43691406249999998</c:v>
                </c:pt>
                <c:pt idx="13">
                  <c:v>0.44296875000000002</c:v>
                </c:pt>
                <c:pt idx="14">
                  <c:v>0.46718749999999998</c:v>
                </c:pt>
                <c:pt idx="15">
                  <c:v>0.4853515625</c:v>
                </c:pt>
                <c:pt idx="16">
                  <c:v>0.50957031249999996</c:v>
                </c:pt>
                <c:pt idx="17">
                  <c:v>0.53378906250000002</c:v>
                </c:pt>
                <c:pt idx="18">
                  <c:v>0.515625</c:v>
                </c:pt>
                <c:pt idx="19">
                  <c:v>0.53378906250000002</c:v>
                </c:pt>
                <c:pt idx="20">
                  <c:v>0.56406250000000002</c:v>
                </c:pt>
                <c:pt idx="21">
                  <c:v>0.58828124999999998</c:v>
                </c:pt>
                <c:pt idx="22">
                  <c:v>0.62460937500000002</c:v>
                </c:pt>
                <c:pt idx="23">
                  <c:v>0.61855468749999998</c:v>
                </c:pt>
                <c:pt idx="25">
                  <c:v>0.6064453125</c:v>
                </c:pt>
                <c:pt idx="26">
                  <c:v>0.59433593750000002</c:v>
                </c:pt>
                <c:pt idx="28">
                  <c:v>0.62460937500000002</c:v>
                </c:pt>
                <c:pt idx="29">
                  <c:v>0.62460937500000002</c:v>
                </c:pt>
                <c:pt idx="30">
                  <c:v>0.61250000000000004</c:v>
                </c:pt>
                <c:pt idx="31">
                  <c:v>0.63671875</c:v>
                </c:pt>
                <c:pt idx="32">
                  <c:v>0.64277343750000004</c:v>
                </c:pt>
                <c:pt idx="33">
                  <c:v>0.65488281250000002</c:v>
                </c:pt>
                <c:pt idx="34">
                  <c:v>0.64882812499999998</c:v>
                </c:pt>
                <c:pt idx="35">
                  <c:v>0.66093749999999996</c:v>
                </c:pt>
                <c:pt idx="36">
                  <c:v>0.6669921875</c:v>
                </c:pt>
                <c:pt idx="37">
                  <c:v>0.64882812499999998</c:v>
                </c:pt>
                <c:pt idx="38">
                  <c:v>0.64882812499999998</c:v>
                </c:pt>
                <c:pt idx="39">
                  <c:v>0.66093749999999996</c:v>
                </c:pt>
                <c:pt idx="40">
                  <c:v>0.66093749999999996</c:v>
                </c:pt>
                <c:pt idx="41">
                  <c:v>0.66093749999999996</c:v>
                </c:pt>
                <c:pt idx="42">
                  <c:v>0.65488281250000002</c:v>
                </c:pt>
                <c:pt idx="43">
                  <c:v>0.65488281250000002</c:v>
                </c:pt>
                <c:pt idx="44">
                  <c:v>0.60039062499999996</c:v>
                </c:pt>
                <c:pt idx="45">
                  <c:v>0.64882812499999998</c:v>
                </c:pt>
                <c:pt idx="46">
                  <c:v>0.64882812499999998</c:v>
                </c:pt>
                <c:pt idx="47">
                  <c:v>0.70332031250000004</c:v>
                </c:pt>
                <c:pt idx="48">
                  <c:v>0.70937499999999998</c:v>
                </c:pt>
                <c:pt idx="49">
                  <c:v>0.70937499999999998</c:v>
                </c:pt>
                <c:pt idx="50">
                  <c:v>0.6669921875</c:v>
                </c:pt>
                <c:pt idx="51">
                  <c:v>0.67304687500000004</c:v>
                </c:pt>
                <c:pt idx="52">
                  <c:v>0.71542968750000002</c:v>
                </c:pt>
                <c:pt idx="53">
                  <c:v>0.67304687500000004</c:v>
                </c:pt>
                <c:pt idx="54">
                  <c:v>0.67304687500000004</c:v>
                </c:pt>
                <c:pt idx="55">
                  <c:v>0.6669921875</c:v>
                </c:pt>
                <c:pt idx="56">
                  <c:v>0.60749999999999993</c:v>
                </c:pt>
                <c:pt idx="58">
                  <c:v>0.61250000000000004</c:v>
                </c:pt>
                <c:pt idx="59">
                  <c:v>0.65375000000000005</c:v>
                </c:pt>
                <c:pt idx="60">
                  <c:v>0.65874999999999995</c:v>
                </c:pt>
                <c:pt idx="61">
                  <c:v>0.66999999999999993</c:v>
                </c:pt>
                <c:pt idx="62">
                  <c:v>0.66375000000000006</c:v>
                </c:pt>
                <c:pt idx="64">
                  <c:v>0.67999999999999994</c:v>
                </c:pt>
                <c:pt idx="65">
                  <c:v>0.68125000000000002</c:v>
                </c:pt>
                <c:pt idx="66">
                  <c:v>0.67125000000000001</c:v>
                </c:pt>
                <c:pt idx="67">
                  <c:v>0.66874999999999996</c:v>
                </c:pt>
                <c:pt idx="68">
                  <c:v>0.62125000000000008</c:v>
                </c:pt>
                <c:pt idx="69">
                  <c:v>0.66749999999999998</c:v>
                </c:pt>
                <c:pt idx="70">
                  <c:v>0.67500000000000004</c:v>
                </c:pt>
                <c:pt idx="71">
                  <c:v>0.6875</c:v>
                </c:pt>
                <c:pt idx="72">
                  <c:v>0.6875</c:v>
                </c:pt>
                <c:pt idx="74">
                  <c:v>0.68125000000000002</c:v>
                </c:pt>
                <c:pt idx="75">
                  <c:v>0.66874999999999996</c:v>
                </c:pt>
                <c:pt idx="76">
                  <c:v>0.66500000000000004</c:v>
                </c:pt>
                <c:pt idx="78">
                  <c:v>0.67749999999999999</c:v>
                </c:pt>
                <c:pt idx="79">
                  <c:v>0.69</c:v>
                </c:pt>
                <c:pt idx="80">
                  <c:v>0.67625000000000002</c:v>
                </c:pt>
                <c:pt idx="82">
                  <c:v>0.67999999999999994</c:v>
                </c:pt>
                <c:pt idx="84">
                  <c:v>0.68375000000000008</c:v>
                </c:pt>
                <c:pt idx="85">
                  <c:v>0.69</c:v>
                </c:pt>
                <c:pt idx="86">
                  <c:v>0.6825</c:v>
                </c:pt>
                <c:pt idx="87">
                  <c:v>0.68375000000000008</c:v>
                </c:pt>
                <c:pt idx="88">
                  <c:v>0.69124999999999992</c:v>
                </c:pt>
                <c:pt idx="89">
                  <c:v>0.6875</c:v>
                </c:pt>
                <c:pt idx="91">
                  <c:v>0.67625000000000002</c:v>
                </c:pt>
                <c:pt idx="92">
                  <c:v>0.6825</c:v>
                </c:pt>
                <c:pt idx="93">
                  <c:v>0.6825</c:v>
                </c:pt>
                <c:pt idx="94">
                  <c:v>0.68625000000000003</c:v>
                </c:pt>
                <c:pt idx="96">
                  <c:v>0.68125000000000002</c:v>
                </c:pt>
                <c:pt idx="97">
                  <c:v>0.68625000000000003</c:v>
                </c:pt>
                <c:pt idx="98">
                  <c:v>0.70374999999999999</c:v>
                </c:pt>
                <c:pt idx="101">
                  <c:v>0.68625000000000003</c:v>
                </c:pt>
                <c:pt idx="102">
                  <c:v>0.69374999999999998</c:v>
                </c:pt>
                <c:pt idx="105">
                  <c:v>0.68500000000000005</c:v>
                </c:pt>
                <c:pt idx="107">
                  <c:v>0.68500000000000005</c:v>
                </c:pt>
                <c:pt idx="108">
                  <c:v>0.68500000000000005</c:v>
                </c:pt>
                <c:pt idx="109">
                  <c:v>0.72</c:v>
                </c:pt>
                <c:pt idx="110">
                  <c:v>0.70750000000000002</c:v>
                </c:pt>
                <c:pt idx="111">
                  <c:v>0.70500000000000007</c:v>
                </c:pt>
                <c:pt idx="112">
                  <c:v>0.70625000000000004</c:v>
                </c:pt>
                <c:pt idx="114">
                  <c:v>0.72625000000000006</c:v>
                </c:pt>
                <c:pt idx="116">
                  <c:v>0.72499999999999998</c:v>
                </c:pt>
                <c:pt idx="117">
                  <c:v>0.72499999999999998</c:v>
                </c:pt>
                <c:pt idx="119">
                  <c:v>0.72625000000000006</c:v>
                </c:pt>
                <c:pt idx="121">
                  <c:v>0.72124999999999995</c:v>
                </c:pt>
                <c:pt idx="124">
                  <c:v>0.72124999999999995</c:v>
                </c:pt>
                <c:pt idx="125">
                  <c:v>0.71750000000000003</c:v>
                </c:pt>
                <c:pt idx="126">
                  <c:v>0.72124999999999995</c:v>
                </c:pt>
                <c:pt idx="127">
                  <c:v>0.74124999999999996</c:v>
                </c:pt>
                <c:pt idx="128">
                  <c:v>0.745</c:v>
                </c:pt>
                <c:pt idx="129">
                  <c:v>0.72750000000000004</c:v>
                </c:pt>
                <c:pt idx="130">
                  <c:v>0.72750000000000004</c:v>
                </c:pt>
                <c:pt idx="131">
                  <c:v>0.73875000000000002</c:v>
                </c:pt>
                <c:pt idx="132">
                  <c:v>0.72875000000000001</c:v>
                </c:pt>
                <c:pt idx="133">
                  <c:v>0.74625000000000008</c:v>
                </c:pt>
                <c:pt idx="134">
                  <c:v>0.74625000000000008</c:v>
                </c:pt>
                <c:pt idx="135">
                  <c:v>0.74750000000000005</c:v>
                </c:pt>
                <c:pt idx="136">
                  <c:v>0.83499999999999996</c:v>
                </c:pt>
                <c:pt idx="137">
                  <c:v>0.82499999999999996</c:v>
                </c:pt>
                <c:pt idx="138">
                  <c:v>0.74875000000000003</c:v>
                </c:pt>
                <c:pt idx="139">
                  <c:v>0.74750000000000005</c:v>
                </c:pt>
                <c:pt idx="140">
                  <c:v>0.76500000000000001</c:v>
                </c:pt>
                <c:pt idx="141">
                  <c:v>0.77500000000000002</c:v>
                </c:pt>
                <c:pt idx="142">
                  <c:v>0.83875</c:v>
                </c:pt>
                <c:pt idx="143">
                  <c:v>0.82874999999999999</c:v>
                </c:pt>
                <c:pt idx="144">
                  <c:v>0.82874999999999999</c:v>
                </c:pt>
                <c:pt idx="145">
                  <c:v>0.85125000000000006</c:v>
                </c:pt>
                <c:pt idx="146">
                  <c:v>0.85375000000000001</c:v>
                </c:pt>
                <c:pt idx="147">
                  <c:v>0.85499999999999998</c:v>
                </c:pt>
                <c:pt idx="148">
                  <c:v>0.85</c:v>
                </c:pt>
                <c:pt idx="149">
                  <c:v>0.85750000000000004</c:v>
                </c:pt>
                <c:pt idx="150">
                  <c:v>0.85624999999999996</c:v>
                </c:pt>
                <c:pt idx="151">
                  <c:v>0.85875000000000001</c:v>
                </c:pt>
                <c:pt idx="152">
                  <c:v>0.87250000000000005</c:v>
                </c:pt>
                <c:pt idx="153">
                  <c:v>0.85375000000000001</c:v>
                </c:pt>
                <c:pt idx="154">
                  <c:v>0.85750000000000004</c:v>
                </c:pt>
                <c:pt idx="155">
                  <c:v>0.86</c:v>
                </c:pt>
                <c:pt idx="156">
                  <c:v>0.86250000000000004</c:v>
                </c:pt>
                <c:pt idx="157">
                  <c:v>0.87</c:v>
                </c:pt>
                <c:pt idx="158">
                  <c:v>0.87</c:v>
                </c:pt>
                <c:pt idx="159">
                  <c:v>0.86499999999999999</c:v>
                </c:pt>
                <c:pt idx="160">
                  <c:v>0.87</c:v>
                </c:pt>
                <c:pt idx="161">
                  <c:v>0.85875000000000001</c:v>
                </c:pt>
                <c:pt idx="162">
                  <c:v>0.85750000000000004</c:v>
                </c:pt>
                <c:pt idx="163">
                  <c:v>0.84499999999999997</c:v>
                </c:pt>
                <c:pt idx="164">
                  <c:v>0.85375000000000001</c:v>
                </c:pt>
                <c:pt idx="165">
                  <c:v>0.85375000000000001</c:v>
                </c:pt>
                <c:pt idx="166">
                  <c:v>0.84250000000000003</c:v>
                </c:pt>
                <c:pt idx="167">
                  <c:v>0.88</c:v>
                </c:pt>
                <c:pt idx="168">
                  <c:v>0.83374999999999999</c:v>
                </c:pt>
                <c:pt idx="169">
                  <c:v>0.86749999999999994</c:v>
                </c:pt>
                <c:pt idx="170">
                  <c:v>0.90125</c:v>
                </c:pt>
                <c:pt idx="171">
                  <c:v>0.85125000000000006</c:v>
                </c:pt>
                <c:pt idx="172">
                  <c:v>0.85125000000000006</c:v>
                </c:pt>
                <c:pt idx="173">
                  <c:v>0.85750000000000004</c:v>
                </c:pt>
                <c:pt idx="174">
                  <c:v>0.85375000000000001</c:v>
                </c:pt>
                <c:pt idx="175">
                  <c:v>0.86749999999999994</c:v>
                </c:pt>
                <c:pt idx="176">
                  <c:v>0.86124999999999996</c:v>
                </c:pt>
                <c:pt idx="177">
                  <c:v>0.83875</c:v>
                </c:pt>
                <c:pt idx="178">
                  <c:v>0.86250000000000004</c:v>
                </c:pt>
                <c:pt idx="179">
                  <c:v>0.88124999999999998</c:v>
                </c:pt>
                <c:pt idx="180">
                  <c:v>0.88124999999999998</c:v>
                </c:pt>
                <c:pt idx="181">
                  <c:v>0.875</c:v>
                </c:pt>
                <c:pt idx="182">
                  <c:v>0.86250000000000004</c:v>
                </c:pt>
                <c:pt idx="183">
                  <c:v>0.86624999999999996</c:v>
                </c:pt>
                <c:pt idx="184">
                  <c:v>0.86499999999999999</c:v>
                </c:pt>
                <c:pt idx="185">
                  <c:v>0.85875000000000001</c:v>
                </c:pt>
                <c:pt idx="186">
                  <c:v>0.86875000000000002</c:v>
                </c:pt>
                <c:pt idx="187">
                  <c:v>0.88</c:v>
                </c:pt>
                <c:pt idx="188">
                  <c:v>0.88</c:v>
                </c:pt>
                <c:pt idx="189">
                  <c:v>0.86624999999999996</c:v>
                </c:pt>
                <c:pt idx="190">
                  <c:v>0.88875000000000004</c:v>
                </c:pt>
                <c:pt idx="191">
                  <c:v>0.89874999999999994</c:v>
                </c:pt>
                <c:pt idx="192">
                  <c:v>0.88250000000000006</c:v>
                </c:pt>
                <c:pt idx="193">
                  <c:v>0.89249999999999996</c:v>
                </c:pt>
                <c:pt idx="194">
                  <c:v>0.88250000000000006</c:v>
                </c:pt>
                <c:pt idx="195">
                  <c:v>0.87124999999999997</c:v>
                </c:pt>
                <c:pt idx="196">
                  <c:v>0.86875000000000002</c:v>
                </c:pt>
              </c:numCache>
            </c:numRef>
          </c:xVal>
          <c:yVal>
            <c:numRef>
              <c:f>summary!$H$2:$H$199</c:f>
              <c:numCache>
                <c:formatCode>0</c:formatCode>
                <c:ptCount val="197"/>
                <c:pt idx="1">
                  <c:v>1243.2</c:v>
                </c:pt>
                <c:pt idx="6">
                  <c:v>1261.0999999999999</c:v>
                </c:pt>
                <c:pt idx="7">
                  <c:v>1283.0999999999999</c:v>
                </c:pt>
                <c:pt idx="9">
                  <c:v>1308.0999999999999</c:v>
                </c:pt>
                <c:pt idx="10">
                  <c:v>1303.8</c:v>
                </c:pt>
                <c:pt idx="12">
                  <c:v>1305.2</c:v>
                </c:pt>
                <c:pt idx="14">
                  <c:v>1313.4</c:v>
                </c:pt>
                <c:pt idx="15">
                  <c:v>1328.1</c:v>
                </c:pt>
                <c:pt idx="16">
                  <c:v>1241.2</c:v>
                </c:pt>
                <c:pt idx="17">
                  <c:v>1285</c:v>
                </c:pt>
                <c:pt idx="18">
                  <c:v>1328</c:v>
                </c:pt>
                <c:pt idx="19">
                  <c:v>1278.4000000000001</c:v>
                </c:pt>
                <c:pt idx="20">
                  <c:v>1300.5999999999999</c:v>
                </c:pt>
                <c:pt idx="23">
                  <c:v>1275.8</c:v>
                </c:pt>
                <c:pt idx="24">
                  <c:v>1289.5</c:v>
                </c:pt>
                <c:pt idx="32">
                  <c:v>1292.8</c:v>
                </c:pt>
                <c:pt idx="33">
                  <c:v>1306.2</c:v>
                </c:pt>
                <c:pt idx="34">
                  <c:v>1289.2</c:v>
                </c:pt>
                <c:pt idx="35">
                  <c:v>1310.2</c:v>
                </c:pt>
                <c:pt idx="37">
                  <c:v>1293</c:v>
                </c:pt>
                <c:pt idx="42">
                  <c:v>1315.5</c:v>
                </c:pt>
                <c:pt idx="45">
                  <c:v>1308.4000000000001</c:v>
                </c:pt>
                <c:pt idx="46">
                  <c:v>1286.5</c:v>
                </c:pt>
                <c:pt idx="47">
                  <c:v>1322.9</c:v>
                </c:pt>
                <c:pt idx="50">
                  <c:v>1302.3</c:v>
                </c:pt>
                <c:pt idx="52">
                  <c:v>1343.7</c:v>
                </c:pt>
                <c:pt idx="53">
                  <c:v>1319.9</c:v>
                </c:pt>
                <c:pt idx="54">
                  <c:v>1352</c:v>
                </c:pt>
                <c:pt idx="55">
                  <c:v>1332.6</c:v>
                </c:pt>
                <c:pt idx="60">
                  <c:v>1328.4</c:v>
                </c:pt>
                <c:pt idx="61">
                  <c:v>1334.1</c:v>
                </c:pt>
                <c:pt idx="62">
                  <c:v>1322.6</c:v>
                </c:pt>
                <c:pt idx="63">
                  <c:v>1355</c:v>
                </c:pt>
                <c:pt idx="64">
                  <c:v>1316.4</c:v>
                </c:pt>
                <c:pt idx="65">
                  <c:v>1348.7</c:v>
                </c:pt>
                <c:pt idx="66">
                  <c:v>1349.3</c:v>
                </c:pt>
                <c:pt idx="67">
                  <c:v>1313.8</c:v>
                </c:pt>
                <c:pt idx="68">
                  <c:v>1304.2</c:v>
                </c:pt>
                <c:pt idx="69">
                  <c:v>1297.0999999999999</c:v>
                </c:pt>
                <c:pt idx="70">
                  <c:v>1343.5</c:v>
                </c:pt>
                <c:pt idx="71">
                  <c:v>1344.1</c:v>
                </c:pt>
                <c:pt idx="72">
                  <c:v>1340.1</c:v>
                </c:pt>
                <c:pt idx="74">
                  <c:v>1329.9</c:v>
                </c:pt>
                <c:pt idx="75">
                  <c:v>1310.5</c:v>
                </c:pt>
                <c:pt idx="78">
                  <c:v>1310</c:v>
                </c:pt>
                <c:pt idx="79">
                  <c:v>1334.3</c:v>
                </c:pt>
                <c:pt idx="80">
                  <c:v>1388.5</c:v>
                </c:pt>
                <c:pt idx="82">
                  <c:v>1317.8</c:v>
                </c:pt>
                <c:pt idx="84">
                  <c:v>1338.1</c:v>
                </c:pt>
                <c:pt idx="85">
                  <c:v>1367.7</c:v>
                </c:pt>
                <c:pt idx="86">
                  <c:v>1352.5</c:v>
                </c:pt>
                <c:pt idx="87">
                  <c:v>1334.5</c:v>
                </c:pt>
                <c:pt idx="88">
                  <c:v>1337.8</c:v>
                </c:pt>
                <c:pt idx="89">
                  <c:v>1358.7</c:v>
                </c:pt>
                <c:pt idx="91">
                  <c:v>1314.7</c:v>
                </c:pt>
                <c:pt idx="92">
                  <c:v>1367.9</c:v>
                </c:pt>
                <c:pt idx="93">
                  <c:v>1373.6</c:v>
                </c:pt>
                <c:pt idx="94">
                  <c:v>1328.9</c:v>
                </c:pt>
                <c:pt idx="96">
                  <c:v>1327.1</c:v>
                </c:pt>
                <c:pt idx="97">
                  <c:v>1368.5</c:v>
                </c:pt>
                <c:pt idx="98">
                  <c:v>1393.3</c:v>
                </c:pt>
                <c:pt idx="107">
                  <c:v>1329.2</c:v>
                </c:pt>
                <c:pt idx="108">
                  <c:v>1364.6</c:v>
                </c:pt>
                <c:pt idx="109">
                  <c:v>1373.9</c:v>
                </c:pt>
                <c:pt idx="110">
                  <c:v>1353.2</c:v>
                </c:pt>
                <c:pt idx="111">
                  <c:v>1373.5</c:v>
                </c:pt>
                <c:pt idx="112">
                  <c:v>1331.9</c:v>
                </c:pt>
                <c:pt idx="114">
                  <c:v>1332.7</c:v>
                </c:pt>
                <c:pt idx="116">
                  <c:v>1369.2</c:v>
                </c:pt>
                <c:pt idx="117">
                  <c:v>1358.8</c:v>
                </c:pt>
                <c:pt idx="119">
                  <c:v>1382.8</c:v>
                </c:pt>
                <c:pt idx="121">
                  <c:v>1434.7</c:v>
                </c:pt>
                <c:pt idx="127">
                  <c:v>1434</c:v>
                </c:pt>
                <c:pt idx="128">
                  <c:v>1394</c:v>
                </c:pt>
                <c:pt idx="129">
                  <c:v>1403.6</c:v>
                </c:pt>
                <c:pt idx="131">
                  <c:v>1424</c:v>
                </c:pt>
                <c:pt idx="133">
                  <c:v>1435.6</c:v>
                </c:pt>
                <c:pt idx="134">
                  <c:v>1394</c:v>
                </c:pt>
                <c:pt idx="135">
                  <c:v>1449.6</c:v>
                </c:pt>
                <c:pt idx="136">
                  <c:v>1473.8</c:v>
                </c:pt>
                <c:pt idx="137">
                  <c:v>1513.2</c:v>
                </c:pt>
                <c:pt idx="138">
                  <c:v>1426</c:v>
                </c:pt>
                <c:pt idx="139">
                  <c:v>1441.2</c:v>
                </c:pt>
                <c:pt idx="140">
                  <c:v>1419.7</c:v>
                </c:pt>
                <c:pt idx="141">
                  <c:v>1394.7</c:v>
                </c:pt>
                <c:pt idx="143">
                  <c:v>1475.4</c:v>
                </c:pt>
                <c:pt idx="144">
                  <c:v>1516.5</c:v>
                </c:pt>
                <c:pt idx="145">
                  <c:v>1547.6</c:v>
                </c:pt>
                <c:pt idx="146">
                  <c:v>1499.2</c:v>
                </c:pt>
                <c:pt idx="147">
                  <c:v>1523.9</c:v>
                </c:pt>
                <c:pt idx="148">
                  <c:v>1552.2</c:v>
                </c:pt>
                <c:pt idx="149">
                  <c:v>1530.2</c:v>
                </c:pt>
                <c:pt idx="150">
                  <c:v>1535.7</c:v>
                </c:pt>
                <c:pt idx="151">
                  <c:v>1530</c:v>
                </c:pt>
                <c:pt idx="152">
                  <c:v>1546</c:v>
                </c:pt>
                <c:pt idx="153">
                  <c:v>1480.1</c:v>
                </c:pt>
                <c:pt idx="154">
                  <c:v>1522.2</c:v>
                </c:pt>
                <c:pt idx="155">
                  <c:v>1578.2</c:v>
                </c:pt>
                <c:pt idx="156">
                  <c:v>1491.9</c:v>
                </c:pt>
                <c:pt idx="157">
                  <c:v>1559.1</c:v>
                </c:pt>
                <c:pt idx="158">
                  <c:v>1511.8</c:v>
                </c:pt>
                <c:pt idx="159">
                  <c:v>1489.9</c:v>
                </c:pt>
                <c:pt idx="160">
                  <c:v>1496.4</c:v>
                </c:pt>
                <c:pt idx="161">
                  <c:v>1474.8</c:v>
                </c:pt>
                <c:pt idx="162">
                  <c:v>1499.3</c:v>
                </c:pt>
                <c:pt idx="163">
                  <c:v>1512.7</c:v>
                </c:pt>
                <c:pt idx="164">
                  <c:v>1482.8</c:v>
                </c:pt>
                <c:pt idx="165">
                  <c:v>1443</c:v>
                </c:pt>
                <c:pt idx="166">
                  <c:v>1443.6</c:v>
                </c:pt>
                <c:pt idx="167">
                  <c:v>1529.7</c:v>
                </c:pt>
                <c:pt idx="168">
                  <c:v>1478</c:v>
                </c:pt>
                <c:pt idx="169">
                  <c:v>1468.8</c:v>
                </c:pt>
                <c:pt idx="170">
                  <c:v>1468.4</c:v>
                </c:pt>
                <c:pt idx="171">
                  <c:v>1552.8</c:v>
                </c:pt>
                <c:pt idx="172">
                  <c:v>1453.1</c:v>
                </c:pt>
                <c:pt idx="173">
                  <c:v>1521.6</c:v>
                </c:pt>
                <c:pt idx="174">
                  <c:v>1534.1</c:v>
                </c:pt>
                <c:pt idx="175">
                  <c:v>1501.7</c:v>
                </c:pt>
                <c:pt idx="176">
                  <c:v>1495.6</c:v>
                </c:pt>
                <c:pt idx="177">
                  <c:v>1533.6</c:v>
                </c:pt>
                <c:pt idx="178">
                  <c:v>1505.4</c:v>
                </c:pt>
                <c:pt idx="179">
                  <c:v>1533.3</c:v>
                </c:pt>
                <c:pt idx="180">
                  <c:v>1492.4</c:v>
                </c:pt>
                <c:pt idx="181">
                  <c:v>1504.6</c:v>
                </c:pt>
                <c:pt idx="182">
                  <c:v>1498.3</c:v>
                </c:pt>
                <c:pt idx="183">
                  <c:v>1478.3</c:v>
                </c:pt>
                <c:pt idx="184">
                  <c:v>1508</c:v>
                </c:pt>
                <c:pt idx="185">
                  <c:v>1445</c:v>
                </c:pt>
                <c:pt idx="186">
                  <c:v>1488.3</c:v>
                </c:pt>
                <c:pt idx="187">
                  <c:v>1470.2</c:v>
                </c:pt>
                <c:pt idx="188">
                  <c:v>1499.6</c:v>
                </c:pt>
                <c:pt idx="189">
                  <c:v>1491.5</c:v>
                </c:pt>
                <c:pt idx="190">
                  <c:v>1479.2</c:v>
                </c:pt>
                <c:pt idx="191">
                  <c:v>1451.1</c:v>
                </c:pt>
                <c:pt idx="194">
                  <c:v>1431.4</c:v>
                </c:pt>
                <c:pt idx="195">
                  <c:v>1501.8</c:v>
                </c:pt>
                <c:pt idx="196">
                  <c:v>1450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3F-47A3-9B06-676C45FD2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145600"/>
        <c:axId val="239144352"/>
      </c:scatterChart>
      <c:valAx>
        <c:axId val="239145600"/>
        <c:scaling>
          <c:orientation val="minMax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144352"/>
        <c:crosses val="autoZero"/>
        <c:crossBetween val="midCat"/>
      </c:valAx>
      <c:valAx>
        <c:axId val="239144352"/>
        <c:scaling>
          <c:orientation val="minMax"/>
          <c:max val="1595"/>
          <c:min val="12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145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45720</xdr:colOff>
      <xdr:row>160</xdr:row>
      <xdr:rowOff>114300</xdr:rowOff>
    </xdr:from>
    <xdr:to>
      <xdr:col>24</xdr:col>
      <xdr:colOff>365760</xdr:colOff>
      <xdr:row>207</xdr:row>
      <xdr:rowOff>53340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60960</xdr:colOff>
      <xdr:row>140</xdr:row>
      <xdr:rowOff>91440</xdr:rowOff>
    </xdr:from>
    <xdr:to>
      <xdr:col>24</xdr:col>
      <xdr:colOff>388620</xdr:colOff>
      <xdr:row>159</xdr:row>
      <xdr:rowOff>144786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235</xdr:row>
          <xdr:rowOff>22860</xdr:rowOff>
        </xdr:from>
        <xdr:to>
          <xdr:col>13</xdr:col>
          <xdr:colOff>388620</xdr:colOff>
          <xdr:row>236</xdr:row>
          <xdr:rowOff>144780</xdr:rowOff>
        </xdr:to>
        <xdr:sp macro="" textlink="">
          <xdr:nvSpPr>
            <xdr:cNvPr id="1026" name="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208</xdr:row>
          <xdr:rowOff>22860</xdr:rowOff>
        </xdr:from>
        <xdr:to>
          <xdr:col>13</xdr:col>
          <xdr:colOff>388620</xdr:colOff>
          <xdr:row>209</xdr:row>
          <xdr:rowOff>144780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7"/>
  <sheetViews>
    <sheetView workbookViewId="0">
      <selection activeCell="F1" sqref="F1:F27"/>
    </sheetView>
  </sheetViews>
  <sheetFormatPr defaultRowHeight="14.4" x14ac:dyDescent="0.3"/>
  <cols>
    <col min="1" max="2" width="19" customWidth="1"/>
  </cols>
  <sheetData>
    <row r="1" spans="1:6" x14ac:dyDescent="0.3">
      <c r="A1" t="s">
        <v>3</v>
      </c>
      <c r="B1" t="s">
        <v>4</v>
      </c>
      <c r="C1" t="s">
        <v>0</v>
      </c>
      <c r="D1" t="s">
        <v>1</v>
      </c>
      <c r="E1" t="s">
        <v>2</v>
      </c>
      <c r="F1">
        <v>12</v>
      </c>
    </row>
    <row r="2" spans="1:6" x14ac:dyDescent="0.3">
      <c r="A2" t="s">
        <v>3</v>
      </c>
      <c r="B2" t="s">
        <v>5</v>
      </c>
      <c r="C2" t="s">
        <v>0</v>
      </c>
      <c r="D2" t="s">
        <v>1</v>
      </c>
      <c r="E2" t="s">
        <v>2</v>
      </c>
      <c r="F2">
        <v>12</v>
      </c>
    </row>
    <row r="3" spans="1:6" x14ac:dyDescent="0.3">
      <c r="A3" t="s">
        <v>3</v>
      </c>
      <c r="B3" t="s">
        <v>6</v>
      </c>
      <c r="C3" t="s">
        <v>0</v>
      </c>
      <c r="D3" t="s">
        <v>1</v>
      </c>
      <c r="E3" t="s">
        <v>2</v>
      </c>
      <c r="F3">
        <v>11</v>
      </c>
    </row>
    <row r="4" spans="1:6" x14ac:dyDescent="0.3">
      <c r="A4" t="s">
        <v>3</v>
      </c>
      <c r="B4" t="s">
        <v>7</v>
      </c>
      <c r="C4" t="s">
        <v>0</v>
      </c>
      <c r="D4" t="s">
        <v>1</v>
      </c>
      <c r="E4" t="s">
        <v>2</v>
      </c>
      <c r="F4">
        <v>8</v>
      </c>
    </row>
    <row r="5" spans="1:6" x14ac:dyDescent="0.3">
      <c r="A5" t="s">
        <v>3</v>
      </c>
      <c r="B5" t="s">
        <v>8</v>
      </c>
      <c r="C5" t="s">
        <v>0</v>
      </c>
      <c r="D5" t="s">
        <v>1</v>
      </c>
      <c r="E5" t="s">
        <v>2</v>
      </c>
      <c r="F5">
        <v>5</v>
      </c>
    </row>
    <row r="6" spans="1:6" x14ac:dyDescent="0.3">
      <c r="A6" t="s">
        <v>3</v>
      </c>
      <c r="B6" t="s">
        <v>9</v>
      </c>
      <c r="C6" t="s">
        <v>0</v>
      </c>
      <c r="D6" t="s">
        <v>1</v>
      </c>
      <c r="E6" t="s">
        <v>2</v>
      </c>
      <c r="F6">
        <v>5</v>
      </c>
    </row>
    <row r="7" spans="1:6" x14ac:dyDescent="0.3">
      <c r="A7" t="s">
        <v>3</v>
      </c>
      <c r="B7" t="s">
        <v>10</v>
      </c>
      <c r="C7" t="s">
        <v>0</v>
      </c>
      <c r="D7" t="s">
        <v>1</v>
      </c>
      <c r="E7" t="s">
        <v>2</v>
      </c>
      <c r="F7">
        <v>9</v>
      </c>
    </row>
    <row r="8" spans="1:6" x14ac:dyDescent="0.3">
      <c r="A8" t="s">
        <v>3</v>
      </c>
      <c r="B8" t="s">
        <v>11</v>
      </c>
      <c r="C8" t="s">
        <v>0</v>
      </c>
      <c r="D8" t="s">
        <v>1</v>
      </c>
      <c r="E8" t="s">
        <v>2</v>
      </c>
      <c r="F8">
        <v>9</v>
      </c>
    </row>
    <row r="9" spans="1:6" x14ac:dyDescent="0.3">
      <c r="A9" t="s">
        <v>3</v>
      </c>
      <c r="B9" t="s">
        <v>12</v>
      </c>
      <c r="C9" t="s">
        <v>0</v>
      </c>
      <c r="D9" t="s">
        <v>1</v>
      </c>
      <c r="E9" t="s">
        <v>2</v>
      </c>
      <c r="F9">
        <v>9</v>
      </c>
    </row>
    <row r="10" spans="1:6" x14ac:dyDescent="0.3">
      <c r="A10" t="s">
        <v>3</v>
      </c>
      <c r="B10" t="s">
        <v>13</v>
      </c>
      <c r="C10" t="s">
        <v>0</v>
      </c>
      <c r="D10" t="s">
        <v>1</v>
      </c>
      <c r="E10" t="s">
        <v>2</v>
      </c>
      <c r="F10">
        <v>8</v>
      </c>
    </row>
    <row r="11" spans="1:6" x14ac:dyDescent="0.3">
      <c r="A11" t="s">
        <v>3</v>
      </c>
      <c r="B11" t="s">
        <v>14</v>
      </c>
      <c r="C11" t="s">
        <v>0</v>
      </c>
      <c r="D11" t="s">
        <v>1</v>
      </c>
      <c r="E11" t="s">
        <v>2</v>
      </c>
      <c r="F11">
        <v>8</v>
      </c>
    </row>
    <row r="12" spans="1:6" x14ac:dyDescent="0.3">
      <c r="A12" t="s">
        <v>3</v>
      </c>
      <c r="B12" t="s">
        <v>15</v>
      </c>
      <c r="C12" t="s">
        <v>0</v>
      </c>
      <c r="D12" t="s">
        <v>1</v>
      </c>
      <c r="E12" t="s">
        <v>2</v>
      </c>
      <c r="F12">
        <v>9</v>
      </c>
    </row>
    <row r="13" spans="1:6" x14ac:dyDescent="0.3">
      <c r="A13" t="s">
        <v>3</v>
      </c>
      <c r="B13" t="s">
        <v>16</v>
      </c>
      <c r="C13" t="s">
        <v>0</v>
      </c>
      <c r="D13" t="s">
        <v>1</v>
      </c>
      <c r="E13" t="s">
        <v>2</v>
      </c>
      <c r="F13">
        <v>12</v>
      </c>
    </row>
    <row r="14" spans="1:6" x14ac:dyDescent="0.3">
      <c r="A14" t="s">
        <v>3</v>
      </c>
      <c r="B14" t="s">
        <v>17</v>
      </c>
      <c r="C14" t="s">
        <v>0</v>
      </c>
      <c r="D14" t="s">
        <v>1</v>
      </c>
      <c r="E14" t="s">
        <v>2</v>
      </c>
      <c r="F14">
        <v>6</v>
      </c>
    </row>
    <row r="15" spans="1:6" x14ac:dyDescent="0.3">
      <c r="A15" t="s">
        <v>3</v>
      </c>
      <c r="B15" t="s">
        <v>18</v>
      </c>
      <c r="C15" t="s">
        <v>0</v>
      </c>
      <c r="D15" t="s">
        <v>1</v>
      </c>
      <c r="E15" t="s">
        <v>2</v>
      </c>
      <c r="F15">
        <v>7</v>
      </c>
    </row>
    <row r="16" spans="1:6" x14ac:dyDescent="0.3">
      <c r="A16" t="s">
        <v>3</v>
      </c>
      <c r="B16" t="s">
        <v>19</v>
      </c>
      <c r="C16" t="s">
        <v>0</v>
      </c>
      <c r="D16" t="s">
        <v>1</v>
      </c>
      <c r="E16" t="s">
        <v>2</v>
      </c>
      <c r="F16">
        <v>5</v>
      </c>
    </row>
    <row r="17" spans="1:6" x14ac:dyDescent="0.3">
      <c r="A17" t="s">
        <v>3</v>
      </c>
      <c r="B17" t="s">
        <v>20</v>
      </c>
      <c r="C17" t="s">
        <v>0</v>
      </c>
      <c r="D17" t="s">
        <v>1</v>
      </c>
      <c r="E17" t="s">
        <v>2</v>
      </c>
      <c r="F17">
        <v>6</v>
      </c>
    </row>
    <row r="18" spans="1:6" x14ac:dyDescent="0.3">
      <c r="A18" t="s">
        <v>3</v>
      </c>
      <c r="B18" t="s">
        <v>21</v>
      </c>
      <c r="C18" t="s">
        <v>0</v>
      </c>
      <c r="D18" t="s">
        <v>1</v>
      </c>
      <c r="E18" t="s">
        <v>2</v>
      </c>
      <c r="F18">
        <v>6</v>
      </c>
    </row>
    <row r="19" spans="1:6" x14ac:dyDescent="0.3">
      <c r="A19" t="s">
        <v>3</v>
      </c>
      <c r="B19" t="s">
        <v>22</v>
      </c>
      <c r="C19" t="s">
        <v>0</v>
      </c>
      <c r="D19" t="s">
        <v>1</v>
      </c>
      <c r="E19" t="s">
        <v>2</v>
      </c>
      <c r="F19">
        <v>5</v>
      </c>
    </row>
    <row r="20" spans="1:6" x14ac:dyDescent="0.3">
      <c r="A20" t="s">
        <v>3</v>
      </c>
      <c r="B20" t="s">
        <v>23</v>
      </c>
      <c r="C20" t="s">
        <v>0</v>
      </c>
      <c r="D20" t="s">
        <v>1</v>
      </c>
      <c r="E20" t="s">
        <v>2</v>
      </c>
      <c r="F20">
        <v>5</v>
      </c>
    </row>
    <row r="21" spans="1:6" x14ac:dyDescent="0.3">
      <c r="A21" t="s">
        <v>3</v>
      </c>
      <c r="B21" t="s">
        <v>24</v>
      </c>
      <c r="C21" t="s">
        <v>0</v>
      </c>
      <c r="D21" t="s">
        <v>1</v>
      </c>
      <c r="E21" t="s">
        <v>2</v>
      </c>
      <c r="F21">
        <v>6</v>
      </c>
    </row>
    <row r="22" spans="1:6" x14ac:dyDescent="0.3">
      <c r="A22" t="s">
        <v>3</v>
      </c>
      <c r="B22" t="s">
        <v>25</v>
      </c>
      <c r="C22" t="s">
        <v>0</v>
      </c>
      <c r="D22" t="s">
        <v>1</v>
      </c>
      <c r="E22" t="s">
        <v>2</v>
      </c>
      <c r="F22">
        <v>6</v>
      </c>
    </row>
    <row r="23" spans="1:6" x14ac:dyDescent="0.3">
      <c r="A23" t="s">
        <v>3</v>
      </c>
      <c r="B23" t="s">
        <v>26</v>
      </c>
      <c r="C23" t="s">
        <v>0</v>
      </c>
      <c r="D23" t="s">
        <v>1</v>
      </c>
      <c r="E23" t="s">
        <v>2</v>
      </c>
      <c r="F23">
        <v>3</v>
      </c>
    </row>
    <row r="24" spans="1:6" x14ac:dyDescent="0.3">
      <c r="A24" t="s">
        <v>3</v>
      </c>
      <c r="B24" t="s">
        <v>27</v>
      </c>
      <c r="C24" t="s">
        <v>0</v>
      </c>
      <c r="D24" t="s">
        <v>1</v>
      </c>
      <c r="E24" t="s">
        <v>2</v>
      </c>
      <c r="F24">
        <v>7</v>
      </c>
    </row>
    <row r="25" spans="1:6" x14ac:dyDescent="0.3">
      <c r="A25" t="s">
        <v>3</v>
      </c>
      <c r="B25" t="s">
        <v>28</v>
      </c>
      <c r="C25" t="s">
        <v>0</v>
      </c>
      <c r="D25" t="s">
        <v>1</v>
      </c>
      <c r="E25" t="s">
        <v>2</v>
      </c>
      <c r="F25">
        <v>3</v>
      </c>
    </row>
    <row r="26" spans="1:6" x14ac:dyDescent="0.3">
      <c r="A26" t="s">
        <v>3</v>
      </c>
      <c r="B26" t="s">
        <v>29</v>
      </c>
      <c r="C26" t="s">
        <v>0</v>
      </c>
      <c r="D26" t="s">
        <v>1</v>
      </c>
      <c r="E26" t="s">
        <v>2</v>
      </c>
      <c r="F26">
        <v>4</v>
      </c>
    </row>
    <row r="27" spans="1:6" x14ac:dyDescent="0.3">
      <c r="A27" t="s">
        <v>3</v>
      </c>
      <c r="B27" t="s">
        <v>30</v>
      </c>
      <c r="C27" t="s">
        <v>0</v>
      </c>
      <c r="D27" t="s">
        <v>1</v>
      </c>
      <c r="E27" t="s">
        <v>2</v>
      </c>
      <c r="F27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EE342-DBC6-45F5-B8C3-642DC33E53FC}">
  <sheetPr codeName="Sheet3"/>
  <dimension ref="A1:S244"/>
  <sheetViews>
    <sheetView tabSelected="1" workbookViewId="0">
      <pane ySplit="1" topLeftCell="A224" activePane="bottomLeft" state="frozen"/>
      <selection pane="bottomLeft" activeCell="L243" activeCellId="1" sqref="L241:L242 L243"/>
    </sheetView>
  </sheetViews>
  <sheetFormatPr defaultRowHeight="14.4" x14ac:dyDescent="0.3"/>
  <cols>
    <col min="1" max="1" width="11.88671875" style="4" customWidth="1"/>
    <col min="2" max="2" width="6" customWidth="1"/>
    <col min="3" max="4" width="6" style="2" customWidth="1"/>
    <col min="5" max="5" width="6" style="22" customWidth="1"/>
    <col min="6" max="6" width="5.6640625" style="2" customWidth="1"/>
    <col min="7" max="7" width="7.6640625" style="2" customWidth="1"/>
    <col min="8" max="10" width="8.88671875" style="3"/>
    <col min="11" max="11" width="5.77734375" style="3" customWidth="1"/>
    <col min="12" max="12" width="8.88671875" style="13"/>
  </cols>
  <sheetData>
    <row r="1" spans="1:17" x14ac:dyDescent="0.3">
      <c r="B1" t="s">
        <v>31</v>
      </c>
      <c r="C1" s="2" t="s">
        <v>66</v>
      </c>
      <c r="D1" s="2" t="s">
        <v>68</v>
      </c>
      <c r="E1" s="22" t="s">
        <v>84</v>
      </c>
      <c r="F1" s="2" t="s">
        <v>85</v>
      </c>
      <c r="G1" s="2" t="s">
        <v>82</v>
      </c>
      <c r="H1" s="3" t="s">
        <v>117</v>
      </c>
      <c r="I1" s="3" t="s">
        <v>114</v>
      </c>
      <c r="J1" s="3" t="s">
        <v>115</v>
      </c>
      <c r="K1" s="3" t="s">
        <v>126</v>
      </c>
      <c r="L1" s="13" t="s">
        <v>116</v>
      </c>
      <c r="M1" s="2"/>
      <c r="N1" s="2"/>
      <c r="O1" s="2"/>
    </row>
    <row r="2" spans="1:17" x14ac:dyDescent="0.3">
      <c r="A2" s="4" t="s">
        <v>32</v>
      </c>
      <c r="B2">
        <v>84</v>
      </c>
      <c r="F2" s="2">
        <f t="shared" ref="F2:F57" si="0">B2/64*310</f>
        <v>406.875</v>
      </c>
      <c r="G2" s="7">
        <f t="shared" ref="G2:G25" si="1">1- F2/800</f>
        <v>0.49140625000000004</v>
      </c>
      <c r="M2" s="1"/>
      <c r="N2" s="1"/>
      <c r="O2" s="1"/>
      <c r="Q2" s="2"/>
    </row>
    <row r="3" spans="1:17" x14ac:dyDescent="0.3">
      <c r="A3" s="4" t="s">
        <v>33</v>
      </c>
      <c r="B3">
        <v>75</v>
      </c>
      <c r="F3" s="2">
        <f t="shared" si="0"/>
        <v>363.28125</v>
      </c>
      <c r="G3" s="7">
        <f t="shared" si="1"/>
        <v>0.5458984375</v>
      </c>
      <c r="H3" s="3">
        <v>1243.2</v>
      </c>
      <c r="I3" s="3">
        <f t="array" ref="I3">MAX(IF(Sheet3!$A$1:$A$500=CONCATENATE("s.",A3,".tar.gz"), Sheet3!$B$1:$B$500))</f>
        <v>1256</v>
      </c>
      <c r="J3" s="3">
        <f>IFERROR(AVERAGEIF(Sheet3!$A$1:$A$500,CONCATENATE("s.",A3,".tar.gz"),Sheet3!$B$1:$B$500),"")</f>
        <v>1256</v>
      </c>
      <c r="K3" s="19">
        <f>COUNTIF(Sheet3!$A$1:$A$500,CONCATENATE("s.rule",A3,".tar.gz"))</f>
        <v>0</v>
      </c>
      <c r="L3" s="13">
        <f t="shared" ref="L3" si="2">IF(I3&lt;&gt;"",I3-H3,"")</f>
        <v>12.799999999999955</v>
      </c>
      <c r="M3" s="1"/>
      <c r="N3" s="1"/>
      <c r="O3" s="1"/>
      <c r="P3" s="2"/>
      <c r="Q3" s="2"/>
    </row>
    <row r="4" spans="1:17" x14ac:dyDescent="0.3">
      <c r="A4" s="4" t="s">
        <v>34</v>
      </c>
      <c r="B4">
        <v>78</v>
      </c>
      <c r="F4" s="2">
        <f t="shared" si="0"/>
        <v>377.8125</v>
      </c>
      <c r="G4" s="7">
        <f t="shared" si="1"/>
        <v>0.52773437499999998</v>
      </c>
      <c r="M4" s="1"/>
      <c r="N4" s="1"/>
      <c r="O4" s="1"/>
      <c r="P4" s="2"/>
      <c r="Q4" s="2"/>
    </row>
    <row r="5" spans="1:17" x14ac:dyDescent="0.3">
      <c r="A5" s="4" t="s">
        <v>35</v>
      </c>
      <c r="B5">
        <v>87</v>
      </c>
      <c r="F5" s="2">
        <f t="shared" si="0"/>
        <v>421.40625</v>
      </c>
      <c r="G5" s="7">
        <f t="shared" si="1"/>
        <v>0.47324218750000002</v>
      </c>
      <c r="M5" s="1"/>
      <c r="N5" s="1"/>
      <c r="O5" s="1"/>
      <c r="P5" s="2"/>
      <c r="Q5" s="2"/>
    </row>
    <row r="6" spans="1:17" x14ac:dyDescent="0.3">
      <c r="A6" s="4" t="s">
        <v>36</v>
      </c>
      <c r="B6">
        <v>85</v>
      </c>
      <c r="F6" s="2">
        <f t="shared" si="0"/>
        <v>411.71875</v>
      </c>
      <c r="G6" s="7">
        <f t="shared" si="1"/>
        <v>0.4853515625</v>
      </c>
      <c r="M6" s="1"/>
      <c r="N6" s="1"/>
      <c r="O6" s="1"/>
      <c r="P6" s="2"/>
      <c r="Q6" s="2"/>
    </row>
    <row r="7" spans="1:17" x14ac:dyDescent="0.3">
      <c r="A7" s="4" t="s">
        <v>37</v>
      </c>
      <c r="B7">
        <v>84</v>
      </c>
      <c r="F7" s="2">
        <f t="shared" si="0"/>
        <v>406.875</v>
      </c>
      <c r="G7" s="7">
        <f t="shared" si="1"/>
        <v>0.49140625000000004</v>
      </c>
      <c r="M7" s="1"/>
      <c r="N7" s="1"/>
      <c r="O7" s="1"/>
      <c r="P7" s="2"/>
      <c r="Q7" s="2"/>
    </row>
    <row r="8" spans="1:17" x14ac:dyDescent="0.3">
      <c r="A8" s="4" t="s">
        <v>38</v>
      </c>
      <c r="B8">
        <v>82</v>
      </c>
      <c r="F8" s="2">
        <f t="shared" si="0"/>
        <v>397.1875</v>
      </c>
      <c r="G8" s="7">
        <f t="shared" si="1"/>
        <v>0.50351562500000002</v>
      </c>
      <c r="H8" s="3">
        <v>1261.0999999999999</v>
      </c>
      <c r="I8" s="3">
        <f t="array" ref="I8">MAX(IF(Sheet3!$A$1:$A$500=CONCATENATE("s.",A8,".tar.gz"), Sheet3!$B$1:$B$500))</f>
        <v>1231.5</v>
      </c>
      <c r="J8" s="3">
        <f>IFERROR(AVERAGEIF(Sheet3!$A$1:$A$500,CONCATENATE("s.",A8,".tar.gz"),Sheet3!$B$1:$B$500),"")</f>
        <v>1231.5</v>
      </c>
      <c r="K8" s="19">
        <f>COUNTIF(Sheet3!$A$1:$A$500,CONCATENATE("s.rule",A8,".tar.gz"))</f>
        <v>0</v>
      </c>
      <c r="L8" s="13">
        <f t="shared" ref="L8:L9" si="3">IF(I8&lt;&gt;"",I8-H8,"")</f>
        <v>-29.599999999999909</v>
      </c>
      <c r="M8" s="1"/>
      <c r="N8" s="1"/>
      <c r="O8" s="1"/>
      <c r="P8" s="2"/>
      <c r="Q8" s="2"/>
    </row>
    <row r="9" spans="1:17" s="2" customFormat="1" x14ac:dyDescent="0.3">
      <c r="A9" s="4" t="s">
        <v>58</v>
      </c>
      <c r="E9" s="22"/>
      <c r="G9" s="7"/>
      <c r="H9" s="3">
        <v>1283.0999999999999</v>
      </c>
      <c r="I9" s="3">
        <f t="array" ref="I9">MAX(IF(Sheet3!$A$1:$A$500=CONCATENATE("s.",A9,".tar.gz"), Sheet3!$B$1:$B$500))</f>
        <v>1282.5999999999999</v>
      </c>
      <c r="J9" s="3">
        <f>IFERROR(AVERAGEIF(Sheet3!$A$1:$A$500,CONCATENATE("s.",A9,".tar.gz"),Sheet3!$B$1:$B$500),"")</f>
        <v>1282.5999999999999</v>
      </c>
      <c r="K9" s="19">
        <f>COUNTIF(Sheet3!$A$1:$A$500,CONCATENATE("s.rule",A9,".tar.gz"))</f>
        <v>0</v>
      </c>
      <c r="L9" s="13">
        <f t="shared" si="3"/>
        <v>-0.5</v>
      </c>
      <c r="M9" s="1"/>
      <c r="N9" s="1"/>
      <c r="O9" s="1"/>
    </row>
    <row r="10" spans="1:17" x14ac:dyDescent="0.3">
      <c r="A10" s="4" t="s">
        <v>39</v>
      </c>
      <c r="B10">
        <v>83</v>
      </c>
      <c r="F10" s="2">
        <f t="shared" si="0"/>
        <v>402.03125</v>
      </c>
      <c r="G10" s="7">
        <f t="shared" si="1"/>
        <v>0.49746093749999998</v>
      </c>
      <c r="M10" s="1"/>
      <c r="N10" s="1"/>
      <c r="O10" s="1"/>
      <c r="P10" s="2"/>
      <c r="Q10" s="2"/>
    </row>
    <row r="11" spans="1:17" x14ac:dyDescent="0.3">
      <c r="A11" s="4" t="s">
        <v>40</v>
      </c>
      <c r="B11">
        <v>74</v>
      </c>
      <c r="F11" s="2">
        <f t="shared" si="0"/>
        <v>358.4375</v>
      </c>
      <c r="G11" s="7">
        <f t="shared" si="1"/>
        <v>0.55195312500000004</v>
      </c>
      <c r="H11" s="3">
        <v>1308.0999999999999</v>
      </c>
      <c r="I11" s="3">
        <f t="array" ref="I11">MAX(IF(Sheet3!$A$1:$A$500=CONCATENATE("s.",A11,".tar.gz"), Sheet3!$B$1:$B$500))</f>
        <v>1313.2</v>
      </c>
      <c r="J11" s="3">
        <f>IFERROR(AVERAGEIF(Sheet3!$A$1:$A$500,CONCATENATE("s.",A11,".tar.gz"),Sheet3!$B$1:$B$500),"")</f>
        <v>1313.2</v>
      </c>
      <c r="K11" s="19">
        <f>COUNTIF(Sheet3!$A$1:$A$500,CONCATENATE("s.rule",A11,".tar.gz"))</f>
        <v>0</v>
      </c>
      <c r="L11" s="13">
        <f t="shared" ref="L11:L12" si="4">IF(I11&lt;&gt;"",I11-H11,"")</f>
        <v>5.1000000000001364</v>
      </c>
      <c r="M11" s="1"/>
      <c r="N11" s="1"/>
      <c r="O11" s="1"/>
      <c r="P11" s="2"/>
      <c r="Q11" s="2"/>
    </row>
    <row r="12" spans="1:17" x14ac:dyDescent="0.3">
      <c r="A12" s="4" t="s">
        <v>41</v>
      </c>
      <c r="B12">
        <v>85</v>
      </c>
      <c r="F12" s="2">
        <f t="shared" si="0"/>
        <v>411.71875</v>
      </c>
      <c r="G12" s="7">
        <f t="shared" si="1"/>
        <v>0.4853515625</v>
      </c>
      <c r="H12" s="3">
        <v>1303.8</v>
      </c>
      <c r="I12" s="3">
        <f t="array" ref="I12">MAX(IF(Sheet3!$A$1:$A$500=CONCATENATE("s.",A12,".tar.gz"), Sheet3!$B$1:$B$500))</f>
        <v>1290.0999999999999</v>
      </c>
      <c r="J12" s="3">
        <f>IFERROR(AVERAGEIF(Sheet3!$A$1:$A$500,CONCATENATE("s.",A12,".tar.gz"),Sheet3!$B$1:$B$500),"")</f>
        <v>1290.0999999999999</v>
      </c>
      <c r="K12" s="19">
        <f>COUNTIF(Sheet3!$A$1:$A$500,CONCATENATE("s.rule",A12,".tar.gz"))</f>
        <v>0</v>
      </c>
      <c r="L12" s="13">
        <f t="shared" si="4"/>
        <v>-13.700000000000045</v>
      </c>
      <c r="M12" s="1"/>
      <c r="N12" s="1"/>
      <c r="O12" s="1"/>
      <c r="P12" s="2"/>
      <c r="Q12" s="2"/>
    </row>
    <row r="13" spans="1:17" x14ac:dyDescent="0.3">
      <c r="A13" s="4" t="s">
        <v>42</v>
      </c>
      <c r="B13">
        <v>86</v>
      </c>
      <c r="F13" s="2">
        <f t="shared" si="0"/>
        <v>416.5625</v>
      </c>
      <c r="G13" s="7">
        <f t="shared" si="1"/>
        <v>0.47929687499999996</v>
      </c>
      <c r="M13" s="1"/>
      <c r="N13" s="1"/>
      <c r="O13" s="1"/>
      <c r="P13" s="2"/>
      <c r="Q13" s="2"/>
    </row>
    <row r="14" spans="1:17" x14ac:dyDescent="0.3">
      <c r="A14" s="4" t="s">
        <v>43</v>
      </c>
      <c r="B14">
        <v>93</v>
      </c>
      <c r="F14" s="2">
        <f t="shared" si="0"/>
        <v>450.46875</v>
      </c>
      <c r="G14" s="7">
        <f t="shared" si="1"/>
        <v>0.43691406249999998</v>
      </c>
      <c r="H14" s="3">
        <v>1305.2</v>
      </c>
      <c r="I14" s="3">
        <f t="array" ref="I14">MAX(IF(Sheet3!$A$1:$A$500=CONCATENATE("s.",A14,".tar.gz"), Sheet3!$B$1:$B$500))</f>
        <v>1290.5</v>
      </c>
      <c r="J14" s="3">
        <f>IFERROR(AVERAGEIF(Sheet3!$A$1:$A$500,CONCATENATE("s.",A14,".tar.gz"),Sheet3!$B$1:$B$500),"")</f>
        <v>1290.5</v>
      </c>
      <c r="K14" s="19">
        <f>COUNTIF(Sheet3!$A$1:$A$500,CONCATENATE("s.rule",A14,".tar.gz"))</f>
        <v>0</v>
      </c>
      <c r="L14" s="13">
        <f t="shared" ref="L14" si="5">IF(I14&lt;&gt;"",I14-H14,"")</f>
        <v>-14.700000000000045</v>
      </c>
      <c r="M14" s="1"/>
      <c r="N14" s="1"/>
      <c r="O14" s="1"/>
      <c r="P14" s="2"/>
      <c r="Q14" s="2"/>
    </row>
    <row r="15" spans="1:17" x14ac:dyDescent="0.3">
      <c r="A15" s="4" t="s">
        <v>44</v>
      </c>
      <c r="B15">
        <v>92</v>
      </c>
      <c r="F15" s="2">
        <f t="shared" si="0"/>
        <v>445.625</v>
      </c>
      <c r="G15" s="7">
        <f t="shared" si="1"/>
        <v>0.44296875000000002</v>
      </c>
      <c r="M15" s="1"/>
      <c r="N15" s="1"/>
      <c r="O15" s="1"/>
      <c r="P15" s="2"/>
      <c r="Q15" s="2"/>
    </row>
    <row r="16" spans="1:17" x14ac:dyDescent="0.3">
      <c r="A16" s="4" t="s">
        <v>45</v>
      </c>
      <c r="B16">
        <v>88</v>
      </c>
      <c r="F16" s="2">
        <f t="shared" si="0"/>
        <v>426.25</v>
      </c>
      <c r="G16" s="7">
        <f t="shared" si="1"/>
        <v>0.46718749999999998</v>
      </c>
      <c r="H16" s="3">
        <v>1313.4</v>
      </c>
      <c r="I16" s="3">
        <f t="array" ref="I16">MAX(IF(Sheet3!$A$1:$A$500=CONCATENATE("s.",A16,".tar.gz"), Sheet3!$B$1:$B$500))</f>
        <v>1309.5999999999999</v>
      </c>
      <c r="J16" s="3">
        <f>IFERROR(AVERAGEIF(Sheet3!$A$1:$A$500,CONCATENATE("s.",A16,".tar.gz"),Sheet3!$B$1:$B$500),"")</f>
        <v>1309.5999999999999</v>
      </c>
      <c r="K16" s="19">
        <f>COUNTIF(Sheet3!$A$1:$A$500,CONCATENATE("s.rule",A16,".tar.gz"))</f>
        <v>0</v>
      </c>
      <c r="L16" s="13">
        <f t="shared" ref="L16:L18" si="6">IF(I16&lt;&gt;"",I16-H16,"")</f>
        <v>-3.8000000000001819</v>
      </c>
      <c r="M16" s="1"/>
      <c r="N16" s="1"/>
      <c r="O16" s="1"/>
      <c r="P16" s="2"/>
      <c r="Q16" s="2"/>
    </row>
    <row r="17" spans="1:17" x14ac:dyDescent="0.3">
      <c r="A17" s="4" t="s">
        <v>46</v>
      </c>
      <c r="B17">
        <v>85</v>
      </c>
      <c r="F17" s="2">
        <f t="shared" si="0"/>
        <v>411.71875</v>
      </c>
      <c r="G17" s="7">
        <f t="shared" si="1"/>
        <v>0.4853515625</v>
      </c>
      <c r="H17" s="3">
        <v>1328.1</v>
      </c>
      <c r="I17" s="3">
        <f t="array" ref="I17">MAX(IF(Sheet3!$A$1:$A$500=CONCATENATE("s.",A17,".tar.gz"), Sheet3!$B$1:$B$500))</f>
        <v>1302</v>
      </c>
      <c r="J17" s="3">
        <f>IFERROR(AVERAGEIF(Sheet3!$A$1:$A$500,CONCATENATE("s.",A17,".tar.gz"),Sheet3!$B$1:$B$500),"")</f>
        <v>1302</v>
      </c>
      <c r="K17" s="19">
        <f>COUNTIF(Sheet3!$A$1:$A$500,CONCATENATE("s.rule",A17,".tar.gz"))</f>
        <v>0</v>
      </c>
      <c r="L17" s="13">
        <f t="shared" si="6"/>
        <v>-26.099999999999909</v>
      </c>
      <c r="M17" s="1"/>
      <c r="N17" s="1"/>
      <c r="O17" s="1"/>
      <c r="P17" s="2"/>
      <c r="Q17" s="2"/>
    </row>
    <row r="18" spans="1:17" x14ac:dyDescent="0.3">
      <c r="A18" s="4" t="s">
        <v>47</v>
      </c>
      <c r="B18">
        <v>81</v>
      </c>
      <c r="F18" s="2">
        <f t="shared" si="0"/>
        <v>392.34375</v>
      </c>
      <c r="G18" s="7">
        <f t="shared" si="1"/>
        <v>0.50957031249999996</v>
      </c>
      <c r="H18" s="3">
        <v>1241.2</v>
      </c>
      <c r="I18" s="3">
        <f t="array" ref="I18">MAX(IF(Sheet3!$A$1:$A$500=CONCATENATE("s.",A18,".tar.gz"), Sheet3!$B$1:$B$500))</f>
        <v>1225.5</v>
      </c>
      <c r="J18" s="3">
        <f>IFERROR(AVERAGEIF(Sheet3!$A$1:$A$500,CONCATENATE("s.",A18,".tar.gz"),Sheet3!$B$1:$B$500),"")</f>
        <v>1225.5</v>
      </c>
      <c r="K18" s="19">
        <f>COUNTIF(Sheet3!$A$1:$A$500,CONCATENATE("s.rule",A18,".tar.gz"))</f>
        <v>0</v>
      </c>
      <c r="L18" s="13">
        <f t="shared" si="6"/>
        <v>-15.700000000000045</v>
      </c>
      <c r="M18" s="1"/>
      <c r="N18" s="1"/>
      <c r="O18" s="1"/>
      <c r="P18" s="2"/>
      <c r="Q18" s="2"/>
    </row>
    <row r="19" spans="1:17" x14ac:dyDescent="0.3">
      <c r="A19" s="4" t="s">
        <v>4</v>
      </c>
      <c r="B19">
        <v>77</v>
      </c>
      <c r="F19" s="2">
        <f t="shared" si="0"/>
        <v>372.96875</v>
      </c>
      <c r="G19" s="7">
        <f t="shared" si="1"/>
        <v>0.53378906250000002</v>
      </c>
      <c r="H19" s="3">
        <v>1285</v>
      </c>
      <c r="I19" s="3">
        <f t="array" ref="I19">MAX(IF(Sheet3!$A$1:$A$500=CONCATENATE("s.",A19,".tar.gz"), Sheet3!$B$1:$B$500))</f>
        <v>1268.5999999999999</v>
      </c>
      <c r="J19" s="3">
        <f>IFERROR(AVERAGEIF(Sheet3!$A$1:$A$500,CONCATENATE("s.",A19,".tar.gz"),Sheet3!$B$1:$B$500),"")</f>
        <v>1268.5999999999999</v>
      </c>
      <c r="K19" s="19">
        <f>COUNTIF(Sheet3!$A$1:$A$500,CONCATENATE("s.rule",A19,".tar.gz"))</f>
        <v>0</v>
      </c>
      <c r="L19" s="13">
        <f t="shared" ref="L19" si="7">IF(I19&lt;&gt;"",I19-H19,"")</f>
        <v>-16.400000000000091</v>
      </c>
      <c r="M19" s="1"/>
      <c r="N19" s="1"/>
      <c r="O19" s="1"/>
      <c r="P19" s="2"/>
      <c r="Q19" s="2"/>
    </row>
    <row r="20" spans="1:17" x14ac:dyDescent="0.3">
      <c r="A20" s="4" t="s">
        <v>48</v>
      </c>
      <c r="B20">
        <v>80</v>
      </c>
      <c r="F20" s="2">
        <f t="shared" si="0"/>
        <v>387.5</v>
      </c>
      <c r="G20" s="7">
        <f t="shared" si="1"/>
        <v>0.515625</v>
      </c>
      <c r="H20" s="3">
        <v>1328</v>
      </c>
      <c r="I20" s="3">
        <f t="array" ref="I20">MAX(IF(Sheet3!$A$1:$A$500=CONCATENATE("s.",A20,".tar.gz"), Sheet3!$B$1:$B$500))</f>
        <v>1298.5999999999999</v>
      </c>
      <c r="J20" s="3">
        <f>IFERROR(AVERAGEIF(Sheet3!$A$1:$A$500,CONCATENATE("s.",A20,".tar.gz"),Sheet3!$B$1:$B$500),"")</f>
        <v>1298.5999999999999</v>
      </c>
      <c r="K20" s="19">
        <f>COUNTIF(Sheet3!$A$1:$A$500,CONCATENATE("s.rule",A20,".tar.gz"))</f>
        <v>0</v>
      </c>
      <c r="L20" s="13">
        <f t="shared" ref="L20" si="8">IF(I20&lt;&gt;"",I20-H20,"")</f>
        <v>-29.400000000000091</v>
      </c>
      <c r="M20" s="1"/>
      <c r="N20" s="1"/>
      <c r="O20" s="1"/>
      <c r="P20" s="2"/>
      <c r="Q20" s="2"/>
    </row>
    <row r="21" spans="1:17" x14ac:dyDescent="0.3">
      <c r="A21" s="4" t="s">
        <v>49</v>
      </c>
      <c r="B21">
        <v>77</v>
      </c>
      <c r="F21" s="2">
        <f t="shared" si="0"/>
        <v>372.96875</v>
      </c>
      <c r="G21" s="7">
        <f t="shared" si="1"/>
        <v>0.53378906250000002</v>
      </c>
      <c r="H21" s="3">
        <v>1278.4000000000001</v>
      </c>
      <c r="I21" s="3">
        <f t="array" ref="I21">MAX(IF(Sheet3!$A$1:$A$500=CONCATENATE("s.",A21,".tar.gz"), Sheet3!$B$1:$B$500))</f>
        <v>1271.2</v>
      </c>
      <c r="J21" s="3">
        <f>IFERROR(AVERAGEIF(Sheet3!$A$1:$A$500,CONCATENATE("s.",A21,".tar.gz"),Sheet3!$B$1:$B$500),"")</f>
        <v>1271.2</v>
      </c>
      <c r="K21" s="19">
        <f>COUNTIF(Sheet3!$A$1:$A$500,CONCATENATE("s.rule",A21,".tar.gz"))</f>
        <v>0</v>
      </c>
      <c r="L21" s="13">
        <f t="shared" ref="L21" si="9">IF(I21&lt;&gt;"",I21-H21,"")</f>
        <v>-7.2000000000000455</v>
      </c>
      <c r="M21" s="1"/>
      <c r="N21" s="1"/>
      <c r="O21" s="1"/>
      <c r="P21" s="2"/>
      <c r="Q21" s="2"/>
    </row>
    <row r="22" spans="1:17" x14ac:dyDescent="0.3">
      <c r="A22" s="4" t="s">
        <v>5</v>
      </c>
      <c r="B22">
        <v>72</v>
      </c>
      <c r="F22" s="2">
        <f t="shared" si="0"/>
        <v>348.75</v>
      </c>
      <c r="G22" s="7">
        <f t="shared" si="1"/>
        <v>0.56406250000000002</v>
      </c>
      <c r="H22" s="3">
        <v>1300.5999999999999</v>
      </c>
      <c r="I22" s="3">
        <f t="array" ref="I22">MAX(IF(Sheet3!$A$1:$A$500=CONCATENATE("s.",A22,".tar.gz"), Sheet3!$B$1:$B$500))</f>
        <v>1296</v>
      </c>
      <c r="J22" s="3">
        <f>IFERROR(AVERAGEIF(Sheet3!$A$1:$A$500,CONCATENATE("s.",A22,".tar.gz"),Sheet3!$B$1:$B$500),"")</f>
        <v>1296</v>
      </c>
      <c r="K22" s="19">
        <f>COUNTIF(Sheet3!$A$1:$A$500,CONCATENATE("s.rule",A22,".tar.gz"))</f>
        <v>0</v>
      </c>
      <c r="L22" s="13">
        <f t="shared" ref="L22" si="10">IF(I22&lt;&gt;"",I22-H22,"")</f>
        <v>-4.5999999999999091</v>
      </c>
      <c r="M22" s="1"/>
      <c r="N22" s="1"/>
      <c r="O22" s="1"/>
      <c r="P22" s="2"/>
      <c r="Q22" s="2"/>
    </row>
    <row r="23" spans="1:17" x14ac:dyDescent="0.3">
      <c r="A23" s="4" t="s">
        <v>6</v>
      </c>
      <c r="B23">
        <v>68</v>
      </c>
      <c r="F23" s="2">
        <f t="shared" si="0"/>
        <v>329.375</v>
      </c>
      <c r="G23" s="7">
        <f t="shared" si="1"/>
        <v>0.58828124999999998</v>
      </c>
      <c r="M23" s="1"/>
      <c r="N23" s="1"/>
      <c r="O23" s="1"/>
      <c r="P23" s="2"/>
      <c r="Q23" s="2"/>
    </row>
    <row r="24" spans="1:17" x14ac:dyDescent="0.3">
      <c r="A24" s="4" t="s">
        <v>7</v>
      </c>
      <c r="B24">
        <v>62</v>
      </c>
      <c r="F24" s="2">
        <f t="shared" si="0"/>
        <v>300.3125</v>
      </c>
      <c r="G24" s="7">
        <f t="shared" si="1"/>
        <v>0.62460937500000002</v>
      </c>
      <c r="M24" s="1"/>
      <c r="N24" s="1"/>
      <c r="O24" s="1"/>
      <c r="P24" s="2"/>
      <c r="Q24" s="2"/>
    </row>
    <row r="25" spans="1:17" x14ac:dyDescent="0.3">
      <c r="A25" s="4" t="s">
        <v>8</v>
      </c>
      <c r="B25">
        <v>63</v>
      </c>
      <c r="F25" s="2">
        <f t="shared" si="0"/>
        <v>305.15625</v>
      </c>
      <c r="G25" s="7">
        <f t="shared" si="1"/>
        <v>0.61855468749999998</v>
      </c>
      <c r="H25" s="3">
        <v>1275.8</v>
      </c>
      <c r="I25" s="3">
        <f t="array" ref="I25">MAX(IF(Sheet3!$A$1:$A$500=CONCATENATE("s.",A25,".tar.gz"), Sheet3!$B$1:$B$500))</f>
        <v>1282.2</v>
      </c>
      <c r="J25" s="3">
        <f>IFERROR(AVERAGEIF(Sheet3!$A$1:$A$500,CONCATENATE("s.",A25,".tar.gz"),Sheet3!$B$1:$B$500),"")</f>
        <v>1282.2</v>
      </c>
      <c r="K25" s="19">
        <f>COUNTIF(Sheet3!$A$1:$A$500,CONCATENATE("s.rule",A25,".tar.gz"))</f>
        <v>0</v>
      </c>
      <c r="L25" s="13">
        <f t="shared" ref="L25" si="11">IF(I25&lt;&gt;"",I25-H25,"")</f>
        <v>6.4000000000000909</v>
      </c>
      <c r="M25" s="1"/>
      <c r="N25" s="1"/>
      <c r="O25" s="1"/>
      <c r="P25" s="2"/>
      <c r="Q25" s="2"/>
    </row>
    <row r="26" spans="1:17" x14ac:dyDescent="0.3">
      <c r="A26" s="4" t="s">
        <v>9</v>
      </c>
      <c r="H26" s="3">
        <v>1289.5</v>
      </c>
      <c r="I26" s="3">
        <f t="array" ref="I26">MAX(IF(Sheet3!$A$1:$A$500=CONCATENATE("s.",A26,".tar.gz"), Sheet3!$B$1:$B$500))</f>
        <v>1304</v>
      </c>
      <c r="J26" s="3">
        <f>IFERROR(AVERAGEIF(Sheet3!$A$1:$A$500,CONCATENATE("s.",A26,".tar.gz"),Sheet3!$B$1:$B$500),"")</f>
        <v>1304</v>
      </c>
      <c r="K26" s="19">
        <f>COUNTIF(Sheet3!$A$1:$A$500,CONCATENATE("s.rule",A26,".tar.gz"))</f>
        <v>0</v>
      </c>
      <c r="L26" s="13">
        <f t="shared" ref="L26" si="12">IF(I26&lt;&gt;"",I26-H26,"")</f>
        <v>14.5</v>
      </c>
      <c r="M26" s="1"/>
      <c r="N26" s="1"/>
      <c r="O26" s="1"/>
      <c r="P26" s="2"/>
      <c r="Q26" s="2"/>
    </row>
    <row r="27" spans="1:17" x14ac:dyDescent="0.3">
      <c r="A27" s="4" t="s">
        <v>10</v>
      </c>
      <c r="B27">
        <v>65</v>
      </c>
      <c r="F27" s="2">
        <f t="shared" si="0"/>
        <v>314.84375</v>
      </c>
      <c r="G27" s="7">
        <f t="shared" ref="G27:G28" si="13">1- F27/800</f>
        <v>0.6064453125</v>
      </c>
      <c r="M27" s="1"/>
      <c r="N27" s="1"/>
      <c r="O27" s="1"/>
      <c r="P27" s="2"/>
      <c r="Q27" s="2"/>
    </row>
    <row r="28" spans="1:17" x14ac:dyDescent="0.3">
      <c r="A28" s="4" t="s">
        <v>11</v>
      </c>
      <c r="B28">
        <v>67</v>
      </c>
      <c r="F28" s="2">
        <f t="shared" si="0"/>
        <v>324.53125</v>
      </c>
      <c r="G28" s="7">
        <f t="shared" si="13"/>
        <v>0.59433593750000002</v>
      </c>
      <c r="M28" s="1"/>
      <c r="N28" s="1"/>
      <c r="O28" s="1"/>
      <c r="P28" s="2"/>
      <c r="Q28" s="2"/>
    </row>
    <row r="29" spans="1:17" x14ac:dyDescent="0.3">
      <c r="A29" s="4" t="s">
        <v>12</v>
      </c>
      <c r="M29" s="1"/>
      <c r="N29" s="1"/>
      <c r="O29" s="1"/>
      <c r="P29" s="2"/>
      <c r="Q29" s="2"/>
    </row>
    <row r="30" spans="1:17" x14ac:dyDescent="0.3">
      <c r="A30" s="4" t="s">
        <v>13</v>
      </c>
      <c r="B30">
        <v>62</v>
      </c>
      <c r="F30" s="2">
        <f t="shared" si="0"/>
        <v>300.3125</v>
      </c>
      <c r="G30" s="7">
        <f t="shared" ref="G30:G54" si="14">1- F30/800</f>
        <v>0.62460937500000002</v>
      </c>
      <c r="M30" s="1"/>
      <c r="N30" s="1"/>
      <c r="O30" s="1"/>
      <c r="P30" s="2"/>
      <c r="Q30" s="2"/>
    </row>
    <row r="31" spans="1:17" x14ac:dyDescent="0.3">
      <c r="A31" s="4" t="s">
        <v>14</v>
      </c>
      <c r="B31">
        <v>62</v>
      </c>
      <c r="F31" s="2">
        <f t="shared" si="0"/>
        <v>300.3125</v>
      </c>
      <c r="G31" s="7">
        <f t="shared" si="14"/>
        <v>0.62460937500000002</v>
      </c>
      <c r="M31" s="1"/>
      <c r="N31" s="1"/>
      <c r="O31" s="1"/>
      <c r="P31" s="2"/>
      <c r="Q31" s="2"/>
    </row>
    <row r="32" spans="1:17" x14ac:dyDescent="0.3">
      <c r="A32" s="4" t="s">
        <v>15</v>
      </c>
      <c r="B32">
        <v>64</v>
      </c>
      <c r="F32" s="2">
        <f t="shared" si="0"/>
        <v>310</v>
      </c>
      <c r="G32" s="7">
        <f t="shared" si="14"/>
        <v>0.61250000000000004</v>
      </c>
      <c r="M32" s="1"/>
      <c r="N32" s="1"/>
      <c r="O32" s="1"/>
      <c r="P32" s="2"/>
      <c r="Q32" s="2"/>
    </row>
    <row r="33" spans="1:17" x14ac:dyDescent="0.3">
      <c r="A33" s="4" t="s">
        <v>16</v>
      </c>
      <c r="B33">
        <v>60</v>
      </c>
      <c r="F33" s="2">
        <f t="shared" si="0"/>
        <v>290.625</v>
      </c>
      <c r="G33" s="7">
        <f t="shared" si="14"/>
        <v>0.63671875</v>
      </c>
      <c r="M33" s="1"/>
      <c r="N33" s="1"/>
      <c r="O33" s="1"/>
      <c r="P33" s="2"/>
      <c r="Q33" s="2"/>
    </row>
    <row r="34" spans="1:17" x14ac:dyDescent="0.3">
      <c r="A34" s="4" t="s">
        <v>17</v>
      </c>
      <c r="B34">
        <v>59</v>
      </c>
      <c r="F34" s="2">
        <f t="shared" si="0"/>
        <v>285.78125</v>
      </c>
      <c r="G34" s="7">
        <f t="shared" si="14"/>
        <v>0.64277343750000004</v>
      </c>
      <c r="H34" s="3">
        <v>1292.8</v>
      </c>
      <c r="I34" s="3">
        <f t="array" ref="I34">MAX(IF(Sheet3!$A$1:$A$500=CONCATENATE("s.",A34,".tar.gz"), Sheet3!$B$1:$B$500))</f>
        <v>1292.8</v>
      </c>
      <c r="J34" s="3">
        <f>IFERROR(AVERAGEIF(Sheet3!$A$1:$A$500,CONCATENATE("s.",A34,".tar.gz"),Sheet3!$B$1:$B$500),"")</f>
        <v>1292.8</v>
      </c>
      <c r="K34" s="19">
        <f>COUNTIF(Sheet3!$A$1:$A$500,CONCATENATE("s.rule",A34,".tar.gz"))</f>
        <v>0</v>
      </c>
      <c r="L34" s="13">
        <f t="shared" ref="L34" si="15">IF(I34&lt;&gt;"",I34-H34,"")</f>
        <v>0</v>
      </c>
      <c r="M34" s="1"/>
      <c r="N34" s="1"/>
      <c r="O34" s="1"/>
      <c r="P34" s="2"/>
      <c r="Q34" s="2"/>
    </row>
    <row r="35" spans="1:17" x14ac:dyDescent="0.3">
      <c r="A35" s="4" t="s">
        <v>18</v>
      </c>
      <c r="B35">
        <v>57</v>
      </c>
      <c r="F35" s="2">
        <f t="shared" si="0"/>
        <v>276.09375</v>
      </c>
      <c r="G35" s="7">
        <f t="shared" si="14"/>
        <v>0.65488281250000002</v>
      </c>
      <c r="H35" s="3">
        <v>1306.2</v>
      </c>
      <c r="I35" s="3">
        <f t="array" ref="I35">MAX(IF(Sheet3!$A$1:$A$500=CONCATENATE("s.",A35,".tar.gz"), Sheet3!$B$1:$B$500))</f>
        <v>1306.2</v>
      </c>
      <c r="J35" s="3">
        <f>IFERROR(AVERAGEIF(Sheet3!$A$1:$A$500,CONCATENATE("s.",A35,".tar.gz"),Sheet3!$B$1:$B$500),"")</f>
        <v>1306.2</v>
      </c>
      <c r="K35" s="19">
        <f>COUNTIF(Sheet3!$A$1:$A$500,CONCATENATE("s.rule",A35,".tar.gz"))</f>
        <v>0</v>
      </c>
      <c r="L35" s="13">
        <f t="shared" ref="L35" si="16">IF(I35&lt;&gt;"",I35-H35,"")</f>
        <v>0</v>
      </c>
      <c r="M35" s="1"/>
      <c r="N35" s="1"/>
      <c r="O35" s="1"/>
      <c r="P35" s="2"/>
      <c r="Q35" s="2"/>
    </row>
    <row r="36" spans="1:17" x14ac:dyDescent="0.3">
      <c r="A36" s="4" t="s">
        <v>19</v>
      </c>
      <c r="B36">
        <v>58</v>
      </c>
      <c r="F36" s="2">
        <f t="shared" si="0"/>
        <v>280.9375</v>
      </c>
      <c r="G36" s="7">
        <f t="shared" si="14"/>
        <v>0.64882812499999998</v>
      </c>
      <c r="H36" s="3">
        <v>1289.2</v>
      </c>
      <c r="I36" s="3">
        <f t="array" ref="I36">MAX(IF(Sheet3!$A$1:$A$500=CONCATENATE("s.",A36,".tar.gz"), Sheet3!$B$1:$B$500))</f>
        <v>1289.2</v>
      </c>
      <c r="J36" s="3">
        <f>IFERROR(AVERAGEIF(Sheet3!$A$1:$A$500,CONCATENATE("s.",A36,".tar.gz"),Sheet3!$B$1:$B$500),"")</f>
        <v>1289.2</v>
      </c>
      <c r="K36" s="19">
        <f>COUNTIF(Sheet3!$A$1:$A$500,CONCATENATE("s.rule",A36,".tar.gz"))</f>
        <v>0</v>
      </c>
      <c r="L36" s="13">
        <f t="shared" ref="L36" si="17">IF(I36&lt;&gt;"",I36-H36,"")</f>
        <v>0</v>
      </c>
      <c r="M36" s="1"/>
      <c r="N36" s="1"/>
      <c r="O36" s="1"/>
      <c r="P36" s="2"/>
      <c r="Q36" s="2"/>
    </row>
    <row r="37" spans="1:17" x14ac:dyDescent="0.3">
      <c r="A37" s="4" t="s">
        <v>20</v>
      </c>
      <c r="B37">
        <v>56</v>
      </c>
      <c r="F37" s="2">
        <f t="shared" si="0"/>
        <v>271.25</v>
      </c>
      <c r="G37" s="7">
        <f t="shared" si="14"/>
        <v>0.66093749999999996</v>
      </c>
      <c r="H37" s="3">
        <v>1310.2</v>
      </c>
      <c r="I37" s="3">
        <f t="array" ref="I37">MAX(IF(Sheet3!$A$1:$A$500=CONCATENATE("s.",A37,".tar.gz"), Sheet3!$B$1:$B$500))</f>
        <v>1310.2</v>
      </c>
      <c r="J37" s="3">
        <f>IFERROR(AVERAGEIF(Sheet3!$A$1:$A$500,CONCATENATE("s.",A37,".tar.gz"),Sheet3!$B$1:$B$500),"")</f>
        <v>1310.2</v>
      </c>
      <c r="K37" s="19">
        <f>COUNTIF(Sheet3!$A$1:$A$500,CONCATENATE("s.rule",A37,".tar.gz"))</f>
        <v>0</v>
      </c>
      <c r="L37" s="13">
        <f t="shared" ref="L37" si="18">IF(I37&lt;&gt;"",I37-H37,"")</f>
        <v>0</v>
      </c>
      <c r="M37" s="1"/>
      <c r="N37" s="1"/>
      <c r="O37" s="1"/>
      <c r="P37" s="2"/>
      <c r="Q37" s="2"/>
    </row>
    <row r="38" spans="1:17" x14ac:dyDescent="0.3">
      <c r="A38" s="4" t="s">
        <v>21</v>
      </c>
      <c r="B38">
        <v>55</v>
      </c>
      <c r="F38" s="2">
        <f t="shared" si="0"/>
        <v>266.40625</v>
      </c>
      <c r="G38" s="7">
        <f t="shared" si="14"/>
        <v>0.6669921875</v>
      </c>
      <c r="M38" s="1"/>
      <c r="N38" s="1"/>
      <c r="O38" s="1"/>
      <c r="P38" s="2"/>
      <c r="Q38" s="2"/>
    </row>
    <row r="39" spans="1:17" x14ac:dyDescent="0.3">
      <c r="A39" s="4" t="s">
        <v>22</v>
      </c>
      <c r="B39">
        <v>58</v>
      </c>
      <c r="F39" s="2">
        <f t="shared" si="0"/>
        <v>280.9375</v>
      </c>
      <c r="G39" s="7">
        <f t="shared" si="14"/>
        <v>0.64882812499999998</v>
      </c>
      <c r="H39" s="3">
        <v>1293</v>
      </c>
      <c r="I39" s="3">
        <f t="array" ref="I39">MAX(IF(Sheet3!$A$1:$A$500=CONCATENATE("s.",A39,".tar.gz"), Sheet3!$B$1:$B$500))</f>
        <v>1311.1</v>
      </c>
      <c r="J39" s="3">
        <f>IFERROR(AVERAGEIF(Sheet3!$A$1:$A$500,CONCATENATE("s.",A39,".tar.gz"),Sheet3!$B$1:$B$500),"")</f>
        <v>1311.1</v>
      </c>
      <c r="K39" s="19">
        <f>COUNTIF(Sheet3!$A$1:$A$500,CONCATENATE("s.rule",A39,".tar.gz"))</f>
        <v>0</v>
      </c>
      <c r="L39" s="13">
        <f t="shared" ref="L39" si="19">IF(I39&lt;&gt;"",I39-H39,"")</f>
        <v>18.099999999999909</v>
      </c>
      <c r="M39" s="1"/>
      <c r="N39" s="1"/>
      <c r="O39" s="1"/>
      <c r="P39" s="2"/>
      <c r="Q39" s="2"/>
    </row>
    <row r="40" spans="1:17" x14ac:dyDescent="0.3">
      <c r="A40" s="4" t="s">
        <v>23</v>
      </c>
      <c r="B40">
        <v>58</v>
      </c>
      <c r="F40" s="2">
        <f t="shared" si="0"/>
        <v>280.9375</v>
      </c>
      <c r="G40" s="7">
        <f t="shared" si="14"/>
        <v>0.64882812499999998</v>
      </c>
      <c r="M40" s="1"/>
      <c r="N40" s="1"/>
      <c r="O40" s="1"/>
      <c r="P40" s="2"/>
      <c r="Q40" s="2"/>
    </row>
    <row r="41" spans="1:17" x14ac:dyDescent="0.3">
      <c r="A41" s="4" t="s">
        <v>24</v>
      </c>
      <c r="B41">
        <v>56</v>
      </c>
      <c r="F41" s="2">
        <f t="shared" si="0"/>
        <v>271.25</v>
      </c>
      <c r="G41" s="7">
        <f t="shared" si="14"/>
        <v>0.66093749999999996</v>
      </c>
      <c r="M41" s="1"/>
      <c r="N41" s="1"/>
      <c r="O41" s="1"/>
      <c r="P41" s="2"/>
      <c r="Q41" s="2"/>
    </row>
    <row r="42" spans="1:17" x14ac:dyDescent="0.3">
      <c r="A42" s="4" t="s">
        <v>25</v>
      </c>
      <c r="B42">
        <v>56</v>
      </c>
      <c r="F42" s="2">
        <f t="shared" si="0"/>
        <v>271.25</v>
      </c>
      <c r="G42" s="7">
        <f t="shared" si="14"/>
        <v>0.66093749999999996</v>
      </c>
      <c r="M42" s="1"/>
      <c r="N42" s="1"/>
      <c r="O42" s="1"/>
      <c r="P42" s="2"/>
      <c r="Q42" s="2"/>
    </row>
    <row r="43" spans="1:17" x14ac:dyDescent="0.3">
      <c r="A43" s="4" t="s">
        <v>26</v>
      </c>
      <c r="B43">
        <v>56</v>
      </c>
      <c r="F43" s="2">
        <f t="shared" si="0"/>
        <v>271.25</v>
      </c>
      <c r="G43" s="7">
        <f t="shared" si="14"/>
        <v>0.66093749999999996</v>
      </c>
      <c r="M43" s="1"/>
      <c r="N43" s="1"/>
      <c r="O43" s="1"/>
      <c r="P43" s="2"/>
      <c r="Q43" s="2"/>
    </row>
    <row r="44" spans="1:17" hidden="1" x14ac:dyDescent="0.3">
      <c r="A44" s="4" t="s">
        <v>27</v>
      </c>
      <c r="B44">
        <v>64</v>
      </c>
      <c r="F44" s="2">
        <f t="shared" si="0"/>
        <v>310</v>
      </c>
      <c r="G44" s="7">
        <f t="shared" si="14"/>
        <v>0.61250000000000004</v>
      </c>
      <c r="M44" s="1"/>
      <c r="N44" s="1"/>
      <c r="O44" s="1"/>
      <c r="P44" s="2"/>
      <c r="Q44" s="2"/>
    </row>
    <row r="45" spans="1:17" x14ac:dyDescent="0.3">
      <c r="A45" s="4" t="s">
        <v>28</v>
      </c>
      <c r="B45">
        <v>57</v>
      </c>
      <c r="F45" s="2">
        <f t="shared" si="0"/>
        <v>276.09375</v>
      </c>
      <c r="G45" s="7">
        <f t="shared" si="14"/>
        <v>0.65488281250000002</v>
      </c>
      <c r="H45" s="3">
        <v>1315.5</v>
      </c>
      <c r="I45" s="3">
        <f t="array" ref="I45">MAX(IF(Sheet3!$A$1:$A$500=CONCATENATE("s.",A45,".tar.gz"), Sheet3!$B$1:$B$500))</f>
        <v>1291.5</v>
      </c>
      <c r="J45" s="3">
        <f>IFERROR(AVERAGEIF(Sheet3!$A$1:$A$500,CONCATENATE("s.",A45,".tar.gz"),Sheet3!$B$1:$B$500),"")</f>
        <v>1291.5</v>
      </c>
      <c r="K45" s="19">
        <f>COUNTIF(Sheet3!$A$1:$A$500,CONCATENATE("s.rule",A45,".tar.gz"))</f>
        <v>0</v>
      </c>
      <c r="L45" s="13">
        <f t="shared" ref="L45" si="20">IF(I45&lt;&gt;"",I45-H45,"")</f>
        <v>-24</v>
      </c>
      <c r="M45" s="1"/>
      <c r="N45" s="1"/>
      <c r="O45" s="1"/>
      <c r="P45" s="2"/>
      <c r="Q45" s="2"/>
    </row>
    <row r="46" spans="1:17" x14ac:dyDescent="0.3">
      <c r="A46" s="4" t="s">
        <v>29</v>
      </c>
      <c r="B46">
        <v>57</v>
      </c>
      <c r="F46" s="2">
        <f t="shared" si="0"/>
        <v>276.09375</v>
      </c>
      <c r="G46" s="7">
        <f t="shared" si="14"/>
        <v>0.65488281250000002</v>
      </c>
      <c r="M46" s="1"/>
      <c r="N46" s="1"/>
      <c r="O46" s="1"/>
      <c r="P46" s="2"/>
      <c r="Q46" s="2"/>
    </row>
    <row r="47" spans="1:17" x14ac:dyDescent="0.3">
      <c r="A47" s="4" t="s">
        <v>30</v>
      </c>
      <c r="B47">
        <v>66</v>
      </c>
      <c r="F47" s="2">
        <f t="shared" si="0"/>
        <v>319.6875</v>
      </c>
      <c r="G47" s="7">
        <f t="shared" si="14"/>
        <v>0.60039062499999996</v>
      </c>
      <c r="M47" s="1"/>
      <c r="N47" s="1"/>
      <c r="O47" s="1"/>
      <c r="P47" s="2"/>
      <c r="Q47" s="2"/>
    </row>
    <row r="48" spans="1:17" x14ac:dyDescent="0.3">
      <c r="A48" s="4" t="s">
        <v>59</v>
      </c>
      <c r="B48">
        <v>58</v>
      </c>
      <c r="F48" s="2">
        <f t="shared" si="0"/>
        <v>280.9375</v>
      </c>
      <c r="G48" s="7">
        <f t="shared" si="14"/>
        <v>0.64882812499999998</v>
      </c>
      <c r="H48" s="3">
        <v>1308.4000000000001</v>
      </c>
      <c r="I48" s="3">
        <f t="array" ref="I48">MAX(IF(Sheet3!$A$1:$A$500=CONCATENATE("s.",A48,".tar.gz"), Sheet3!$B$1:$B$500))</f>
        <v>1317.7</v>
      </c>
      <c r="J48" s="3">
        <f>IFERROR(AVERAGEIF(Sheet3!$A$1:$A$500,CONCATENATE("s.",A48,".tar.gz"),Sheet3!$B$1:$B$500),"")</f>
        <v>1317.7</v>
      </c>
      <c r="K48" s="19">
        <f>COUNTIF(Sheet3!$A$1:$A$500,CONCATENATE("s.rule",A48,".tar.gz"))</f>
        <v>0</v>
      </c>
      <c r="L48" s="13">
        <f t="shared" ref="L48:L49" si="21">IF(I48&lt;&gt;"",I48-H48,"")</f>
        <v>9.2999999999999545</v>
      </c>
    </row>
    <row r="49" spans="1:12" x14ac:dyDescent="0.3">
      <c r="A49" s="4" t="s">
        <v>60</v>
      </c>
      <c r="B49">
        <v>58</v>
      </c>
      <c r="F49" s="2">
        <f t="shared" si="0"/>
        <v>280.9375</v>
      </c>
      <c r="G49" s="7">
        <f t="shared" si="14"/>
        <v>0.64882812499999998</v>
      </c>
      <c r="H49" s="3">
        <v>1286.5</v>
      </c>
      <c r="I49" s="3">
        <f t="array" ref="I49">MAX(IF(Sheet3!$A$1:$A$500=CONCATENATE("s.",A49,".tar.gz"), Sheet3!$B$1:$B$500))</f>
        <v>1283.3</v>
      </c>
      <c r="J49" s="3">
        <f>IFERROR(AVERAGEIF(Sheet3!$A$1:$A$500,CONCATENATE("s.",A49,".tar.gz"),Sheet3!$B$1:$B$500),"")</f>
        <v>1283.3</v>
      </c>
      <c r="K49" s="19">
        <f>COUNTIF(Sheet3!$A$1:$A$500,CONCATENATE("s.rule",A49,".tar.gz"))</f>
        <v>0</v>
      </c>
      <c r="L49" s="13">
        <f t="shared" si="21"/>
        <v>-3.2000000000000455</v>
      </c>
    </row>
    <row r="50" spans="1:12" x14ac:dyDescent="0.3">
      <c r="A50" s="4" t="s">
        <v>61</v>
      </c>
      <c r="B50">
        <v>49</v>
      </c>
      <c r="F50" s="2">
        <f t="shared" si="0"/>
        <v>237.34375</v>
      </c>
      <c r="G50" s="7">
        <f t="shared" si="14"/>
        <v>0.70332031250000004</v>
      </c>
      <c r="H50" s="3">
        <v>1322.9</v>
      </c>
      <c r="I50" s="3">
        <f t="array" ref="I50">MAX(IF(Sheet3!$A$1:$A$500=CONCATENATE("s.",A50,".tar.gz"), Sheet3!$B$1:$B$500))</f>
        <v>1347.8</v>
      </c>
      <c r="J50" s="3">
        <f>IFERROR(AVERAGEIF(Sheet3!$A$1:$A$500,CONCATENATE("s.",A50,".tar.gz"),Sheet3!$B$1:$B$500),"")</f>
        <v>1347.8</v>
      </c>
      <c r="K50" s="19">
        <f>COUNTIF(Sheet3!$A$1:$A$500,CONCATENATE("s.rule",A50,".tar.gz"))</f>
        <v>0</v>
      </c>
      <c r="L50" s="13">
        <f t="shared" ref="L50" si="22">IF(I50&lt;&gt;"",I50-H50,"")</f>
        <v>24.899999999999864</v>
      </c>
    </row>
    <row r="51" spans="1:12" x14ac:dyDescent="0.3">
      <c r="A51" s="4" t="s">
        <v>62</v>
      </c>
      <c r="B51">
        <v>48</v>
      </c>
      <c r="F51" s="2">
        <f t="shared" si="0"/>
        <v>232.5</v>
      </c>
      <c r="G51" s="7">
        <f t="shared" si="14"/>
        <v>0.70937499999999998</v>
      </c>
    </row>
    <row r="52" spans="1:12" x14ac:dyDescent="0.3">
      <c r="A52" s="4" t="s">
        <v>63</v>
      </c>
      <c r="B52">
        <v>48</v>
      </c>
      <c r="F52" s="2">
        <f t="shared" si="0"/>
        <v>232.5</v>
      </c>
      <c r="G52" s="7">
        <f t="shared" si="14"/>
        <v>0.70937499999999998</v>
      </c>
    </row>
    <row r="53" spans="1:12" x14ac:dyDescent="0.3">
      <c r="A53" s="4">
        <v>441</v>
      </c>
      <c r="B53">
        <v>55</v>
      </c>
      <c r="F53" s="2">
        <f t="shared" si="0"/>
        <v>266.40625</v>
      </c>
      <c r="G53" s="7">
        <f t="shared" si="14"/>
        <v>0.6669921875</v>
      </c>
      <c r="H53" s="3">
        <v>1302.3</v>
      </c>
      <c r="I53" s="3">
        <f t="array" ref="I53">MAX(IF(Sheet3!$A$1:$A$500=CONCATENATE("s.rule",A53,".tar.gz"), Sheet3!$B$1:$B$500))</f>
        <v>1321.3</v>
      </c>
      <c r="J53" s="3">
        <f>IFERROR(AVERAGEIF(Sheet3!$A$1:$A$500,CONCATENATE("s.rule",A53,".tar.gz"),Sheet3!$B$1:$B$500),"")</f>
        <v>1321.3</v>
      </c>
      <c r="K53" s="19">
        <f>COUNTIF(Sheet3!$A$1:$A$500,CONCATENATE("s.rule",A53,".tar.gz"))</f>
        <v>1</v>
      </c>
    </row>
    <row r="54" spans="1:12" x14ac:dyDescent="0.3">
      <c r="A54" s="4">
        <v>442</v>
      </c>
      <c r="B54">
        <v>54</v>
      </c>
      <c r="F54" s="2">
        <f t="shared" si="0"/>
        <v>261.5625</v>
      </c>
      <c r="G54" s="7">
        <f t="shared" si="14"/>
        <v>0.67304687500000004</v>
      </c>
      <c r="J54" s="3" t="str">
        <f>IFERROR(AVERAGEIF(Sheet3!$A$1:$A$500,CONCATENATE("s.rule",A54,".tar.gz"),Sheet3!$B$1:$B$500),"")</f>
        <v/>
      </c>
    </row>
    <row r="55" spans="1:12" x14ac:dyDescent="0.3">
      <c r="A55" s="4">
        <v>443</v>
      </c>
      <c r="B55">
        <v>47</v>
      </c>
      <c r="D55" s="2">
        <v>63</v>
      </c>
      <c r="F55" s="2">
        <f t="shared" si="0"/>
        <v>227.65625</v>
      </c>
      <c r="G55" s="7">
        <f t="shared" ref="G55:G59" si="23">1- F55/800</f>
        <v>0.71542968750000002</v>
      </c>
      <c r="H55" s="3">
        <v>1343.7</v>
      </c>
      <c r="I55" s="3">
        <f t="array" ref="I55">MAX(IF(Sheet3!$A$1:$A$500=CONCATENATE("s.rule",A55,".tar.gz"), Sheet3!$B$1:$B$500))</f>
        <v>1343.7</v>
      </c>
      <c r="J55" s="3">
        <f>IFERROR(AVERAGEIF(Sheet3!$A$1:$A$500,CONCATENATE("s.rule",A55,".tar.gz"),Sheet3!$B$1:$B$500),"")</f>
        <v>1343.7</v>
      </c>
      <c r="K55" s="19">
        <f>COUNTIF(Sheet3!$A$1:$A$500,CONCATENATE("s.rule",A55,".tar.gz"))</f>
        <v>1</v>
      </c>
      <c r="L55" s="13">
        <f t="shared" ref="L55:L58" si="24">IF(I55&lt;&gt;"",I55-H55,"")</f>
        <v>0</v>
      </c>
    </row>
    <row r="56" spans="1:12" x14ac:dyDescent="0.3">
      <c r="A56" s="4">
        <v>444</v>
      </c>
      <c r="B56">
        <v>54</v>
      </c>
      <c r="C56" s="2">
        <v>60</v>
      </c>
      <c r="F56" s="2">
        <f t="shared" si="0"/>
        <v>261.5625</v>
      </c>
      <c r="G56" s="7">
        <f t="shared" si="23"/>
        <v>0.67304687500000004</v>
      </c>
      <c r="H56" s="3">
        <v>1319.9</v>
      </c>
      <c r="I56" s="3">
        <f t="array" ref="I56">MAX(IF(Sheet3!$A$1:$A$500=CONCATENATE("s.rule",A56,".tar.gz"), Sheet3!$B$1:$B$500))</f>
        <v>1319.9</v>
      </c>
      <c r="J56" s="3">
        <f>IFERROR(AVERAGEIF(Sheet3!$A$1:$A$500,CONCATENATE("s.rule",A56,".tar.gz"),Sheet3!$B$1:$B$500),"")</f>
        <v>1318.45</v>
      </c>
      <c r="K56" s="19">
        <f>COUNTIF(Sheet3!$A$1:$A$500,CONCATENATE("s.rule",A56,".tar.gz"))</f>
        <v>2</v>
      </c>
      <c r="L56" s="13">
        <f t="shared" si="24"/>
        <v>0</v>
      </c>
    </row>
    <row r="57" spans="1:12" x14ac:dyDescent="0.3">
      <c r="A57" s="4">
        <v>445</v>
      </c>
      <c r="B57" s="2">
        <v>54</v>
      </c>
      <c r="C57" s="2">
        <v>60</v>
      </c>
      <c r="F57" s="2">
        <f t="shared" si="0"/>
        <v>261.5625</v>
      </c>
      <c r="G57" s="7">
        <f t="shared" si="23"/>
        <v>0.67304687500000004</v>
      </c>
      <c r="H57" s="3">
        <v>1352</v>
      </c>
      <c r="I57" s="3">
        <f t="array" ref="I57">MAX(IF(Sheet3!$A$1:$A$500=CONCATENATE("s.rule",A57,".tar.gz"), Sheet3!$B$1:$B$500))</f>
        <v>1352</v>
      </c>
      <c r="J57" s="3">
        <f>IFERROR(AVERAGEIF(Sheet3!$A$1:$A$500,CONCATENATE("s.rule",A57,".tar.gz"),Sheet3!$B$1:$B$500),"")</f>
        <v>1352</v>
      </c>
      <c r="K57" s="19">
        <f>COUNTIF(Sheet3!$A$1:$A$500,CONCATENATE("s.rule",A57,".tar.gz"))</f>
        <v>1</v>
      </c>
      <c r="L57" s="13">
        <f t="shared" si="24"/>
        <v>0</v>
      </c>
    </row>
    <row r="58" spans="1:12" x14ac:dyDescent="0.3">
      <c r="A58" s="4">
        <v>446</v>
      </c>
      <c r="B58">
        <v>55</v>
      </c>
      <c r="C58" s="2">
        <v>60</v>
      </c>
      <c r="F58" s="2">
        <f>B58/64*310</f>
        <v>266.40625</v>
      </c>
      <c r="G58" s="7">
        <f t="shared" si="23"/>
        <v>0.6669921875</v>
      </c>
      <c r="H58" s="3">
        <v>1332.6</v>
      </c>
      <c r="I58" s="3">
        <f t="array" ref="I58">MAX(IF(Sheet3!$A$1:$A$500=CONCATENATE("s.rule",A58,".tar.gz"), Sheet3!$B$1:$B$500))</f>
        <v>1332.6</v>
      </c>
      <c r="J58" s="3">
        <f>IFERROR(AVERAGEIF(Sheet3!$A$1:$A$500,CONCATENATE("s.rule",A58,".tar.gz"),Sheet3!$B$1:$B$500),"")</f>
        <v>1320.0333333333333</v>
      </c>
      <c r="K58" s="19">
        <f>COUNTIF(Sheet3!$A$1:$A$500,CONCATENATE("s.rule",A58,".tar.gz"))</f>
        <v>3</v>
      </c>
      <c r="L58" s="13">
        <f t="shared" si="24"/>
        <v>0</v>
      </c>
    </row>
    <row r="59" spans="1:12" x14ac:dyDescent="0.3">
      <c r="A59" s="4">
        <v>447</v>
      </c>
      <c r="B59">
        <v>64</v>
      </c>
      <c r="C59" s="2">
        <v>80</v>
      </c>
      <c r="F59" s="2">
        <f>B59+C59+80+90</f>
        <v>314</v>
      </c>
      <c r="G59" s="7">
        <f t="shared" si="23"/>
        <v>0.60749999999999993</v>
      </c>
      <c r="K59" s="19"/>
    </row>
    <row r="60" spans="1:12" s="2" customFormat="1" x14ac:dyDescent="0.3">
      <c r="A60" s="4" t="s">
        <v>64</v>
      </c>
      <c r="E60" s="22"/>
      <c r="H60" s="3"/>
      <c r="I60" s="3"/>
      <c r="J60" s="3"/>
      <c r="K60" s="19"/>
      <c r="L60" s="13"/>
    </row>
    <row r="61" spans="1:12" x14ac:dyDescent="0.3">
      <c r="A61" s="4">
        <f>A59+1</f>
        <v>448</v>
      </c>
      <c r="B61">
        <v>64</v>
      </c>
      <c r="C61" s="2">
        <v>77</v>
      </c>
      <c r="D61" s="2">
        <v>74</v>
      </c>
      <c r="F61" s="18">
        <f t="shared" ref="F61:F92" si="25">SUM(B61:D61)+95</f>
        <v>310</v>
      </c>
      <c r="G61" s="7">
        <f t="shared" ref="G61:G62" si="26">1- F61/800</f>
        <v>0.61250000000000004</v>
      </c>
      <c r="I61" s="3" t="str">
        <f>_xlfn.IFNA(VLOOKUP(CONCATENATE("s.rule",A61,".tar.gz"),Sheet1!A:F,5,0),"")</f>
        <v/>
      </c>
      <c r="K61" s="19"/>
    </row>
    <row r="62" spans="1:12" x14ac:dyDescent="0.3">
      <c r="A62" s="4">
        <f>A61+1</f>
        <v>449</v>
      </c>
      <c r="B62">
        <v>57</v>
      </c>
      <c r="C62" s="2">
        <v>64</v>
      </c>
      <c r="D62" s="2">
        <v>61</v>
      </c>
      <c r="F62" s="18">
        <f t="shared" si="25"/>
        <v>277</v>
      </c>
      <c r="G62" s="7">
        <f t="shared" si="26"/>
        <v>0.65375000000000005</v>
      </c>
      <c r="I62" s="3" t="str">
        <f>_xlfn.IFNA(VLOOKUP(CONCATENATE("s.rule",A62,".tar.gz"),Sheet1!A:F,5,0),"")</f>
        <v/>
      </c>
      <c r="K62" s="19"/>
    </row>
    <row r="63" spans="1:12" x14ac:dyDescent="0.3">
      <c r="A63" s="4">
        <f>A62+1</f>
        <v>450</v>
      </c>
      <c r="B63">
        <v>51</v>
      </c>
      <c r="C63" s="2">
        <v>61</v>
      </c>
      <c r="D63" s="2">
        <v>66</v>
      </c>
      <c r="F63" s="18">
        <f t="shared" si="25"/>
        <v>273</v>
      </c>
      <c r="G63" s="7">
        <f>1- F63/800</f>
        <v>0.65874999999999995</v>
      </c>
      <c r="H63" s="3">
        <v>1328.4</v>
      </c>
      <c r="I63" s="3">
        <f t="array" ref="I63">MAX(IF(Sheet3!$A$1:$A$500=CONCATENATE("s.rule",A63,".tar.gz"), Sheet3!$B$1:$B$500))</f>
        <v>1328.4</v>
      </c>
      <c r="J63" s="3">
        <f>IFERROR(AVERAGEIF(Sheet3!$A$1:$A$500,CONCATENATE("s.rule",A63,".tar.gz"),Sheet3!$B$1:$B$500),"")</f>
        <v>1328.4</v>
      </c>
      <c r="K63" s="19">
        <f>COUNTIF(Sheet3!$A$1:$A$500,CONCATENATE("s.rule",A63,".tar.gz"))</f>
        <v>1</v>
      </c>
      <c r="L63" s="13">
        <f t="shared" ref="L63:L67" si="27">IF(I63&lt;&gt;"",I63-H63,"")</f>
        <v>0</v>
      </c>
    </row>
    <row r="64" spans="1:12" x14ac:dyDescent="0.3">
      <c r="A64" s="4">
        <f>A63+1</f>
        <v>451</v>
      </c>
      <c r="B64">
        <v>53</v>
      </c>
      <c r="C64" s="2">
        <v>58</v>
      </c>
      <c r="D64" s="2">
        <v>58</v>
      </c>
      <c r="F64" s="18">
        <f t="shared" si="25"/>
        <v>264</v>
      </c>
      <c r="G64" s="7">
        <f t="shared" ref="G64:G101" si="28">1- F64/800</f>
        <v>0.66999999999999993</v>
      </c>
      <c r="H64" s="3">
        <v>1334.1</v>
      </c>
      <c r="I64" s="3">
        <f t="array" ref="I64">MAX(IF(Sheet3!$A$1:$A$500=CONCATENATE("s.rule",A64,".tar.gz"), Sheet3!$B$1:$B$500))</f>
        <v>1334.1</v>
      </c>
      <c r="J64" s="3">
        <f>IFERROR(AVERAGEIF(Sheet3!$A$1:$A$500,CONCATENATE("s.rule",A64,".tar.gz"),Sheet3!$B$1:$B$500),"")</f>
        <v>1334.1</v>
      </c>
      <c r="K64" s="19">
        <f>COUNTIF(Sheet3!$A$1:$A$500,CONCATENATE("s.rule",A64,".tar.gz"))</f>
        <v>1</v>
      </c>
      <c r="L64" s="13">
        <f t="shared" si="27"/>
        <v>0</v>
      </c>
    </row>
    <row r="65" spans="1:12" s="2" customFormat="1" x14ac:dyDescent="0.3">
      <c r="A65" s="4" t="s">
        <v>65</v>
      </c>
      <c r="B65" s="2">
        <v>49</v>
      </c>
      <c r="C65" s="2">
        <v>64</v>
      </c>
      <c r="D65" s="2">
        <v>61</v>
      </c>
      <c r="E65" s="22"/>
      <c r="F65" s="18">
        <f t="shared" si="25"/>
        <v>269</v>
      </c>
      <c r="G65" s="7">
        <f t="shared" si="28"/>
        <v>0.66375000000000006</v>
      </c>
      <c r="H65" s="3">
        <v>1322.6</v>
      </c>
      <c r="I65" s="3">
        <f t="array" ref="I65">MAX(IF(Sheet3!$A$1:$A$500=CONCATENATE("s.rule",A65,".tar.gz"), Sheet3!$B$1:$B$500))</f>
        <v>1322.6</v>
      </c>
      <c r="J65" s="3">
        <f>IFERROR(AVERAGEIF(Sheet3!$A$1:$A$500,CONCATENATE("s.rule",A65,".tar.gz"),Sheet3!$B$1:$B$500),"")</f>
        <v>1322.6</v>
      </c>
      <c r="K65" s="19">
        <f>COUNTIF(Sheet3!$A$1:$A$500,CONCATENATE("s.rule",A65,".tar.gz"))</f>
        <v>1</v>
      </c>
      <c r="L65" s="13">
        <f t="shared" si="27"/>
        <v>0</v>
      </c>
    </row>
    <row r="66" spans="1:12" x14ac:dyDescent="0.3">
      <c r="A66" s="4">
        <f>A64+1</f>
        <v>452</v>
      </c>
      <c r="B66">
        <v>51</v>
      </c>
      <c r="D66" s="2">
        <v>54</v>
      </c>
      <c r="F66" s="18">
        <f t="shared" si="25"/>
        <v>200</v>
      </c>
      <c r="G66" s="7"/>
      <c r="H66" s="3">
        <v>1355</v>
      </c>
      <c r="I66" s="3">
        <f t="array" ref="I66">MAX(IF(Sheet3!$A$1:$A$500=CONCATENATE("s.rule",A66,".tar.gz"), Sheet3!$B$1:$B$500))</f>
        <v>1355</v>
      </c>
      <c r="J66" s="3">
        <f>IFERROR(AVERAGEIF(Sheet3!$A$1:$A$500,CONCATENATE("s.rule",A66,".tar.gz"),Sheet3!$B$1:$B$500),"")</f>
        <v>1355</v>
      </c>
      <c r="K66" s="19">
        <f>COUNTIF(Sheet3!$A$1:$A$500,CONCATENATE("s.rule",A66,".tar.gz"))</f>
        <v>1</v>
      </c>
      <c r="L66" s="13">
        <f t="shared" si="27"/>
        <v>0</v>
      </c>
    </row>
    <row r="67" spans="1:12" x14ac:dyDescent="0.3">
      <c r="A67" s="4">
        <f t="shared" ref="A67:A79" si="29">A66+1</f>
        <v>453</v>
      </c>
      <c r="B67">
        <v>51</v>
      </c>
      <c r="C67" s="2">
        <v>57</v>
      </c>
      <c r="D67" s="2">
        <v>53</v>
      </c>
      <c r="F67" s="18">
        <f t="shared" si="25"/>
        <v>256</v>
      </c>
      <c r="G67" s="7">
        <f t="shared" si="28"/>
        <v>0.67999999999999994</v>
      </c>
      <c r="H67" s="3">
        <v>1316.4</v>
      </c>
      <c r="I67" s="3">
        <f t="array" ref="I67">MAX(IF(Sheet3!$A$1:$A$500=CONCATENATE("s.rule",A67,".tar.gz"), Sheet3!$B$1:$B$500))</f>
        <v>1316.4</v>
      </c>
      <c r="J67" s="3">
        <f>IFERROR(AVERAGEIF(Sheet3!$A$1:$A$500,CONCATENATE("s.rule",A67,".tar.gz"),Sheet3!$B$1:$B$500),"")</f>
        <v>1312.8000000000002</v>
      </c>
      <c r="K67" s="19">
        <f>COUNTIF(Sheet3!$A$1:$A$500,CONCATENATE("s.rule",A67,".tar.gz"))</f>
        <v>2</v>
      </c>
      <c r="L67" s="13">
        <f t="shared" si="27"/>
        <v>0</v>
      </c>
    </row>
    <row r="68" spans="1:12" x14ac:dyDescent="0.3">
      <c r="A68" s="4">
        <f t="shared" si="29"/>
        <v>454</v>
      </c>
      <c r="B68">
        <v>50</v>
      </c>
      <c r="C68" s="2">
        <v>56</v>
      </c>
      <c r="D68" s="2">
        <v>54</v>
      </c>
      <c r="F68" s="18">
        <f t="shared" si="25"/>
        <v>255</v>
      </c>
      <c r="G68" s="7">
        <f t="shared" si="28"/>
        <v>0.68125000000000002</v>
      </c>
      <c r="H68" s="3">
        <v>1348.7</v>
      </c>
      <c r="I68" s="3">
        <f t="array" ref="I68">MAX(IF(Sheet3!$A$1:$A$500=CONCATENATE("s.rule",A68,".tar.gz"), Sheet3!$B$1:$B$500))</f>
        <v>1348.7</v>
      </c>
      <c r="J68" s="3">
        <f>IFERROR(AVERAGEIF(Sheet3!$A$1:$A$500,CONCATENATE("s.rule",A68,".tar.gz"),Sheet3!$B$1:$B$500),"")</f>
        <v>1324.65</v>
      </c>
      <c r="K68" s="19">
        <f>COUNTIF(Sheet3!$A$1:$A$500,CONCATENATE("s.rule",A68,".tar.gz"))</f>
        <v>2</v>
      </c>
      <c r="L68" s="13">
        <f t="shared" ref="L68:L99" si="30">IF(I68&lt;&gt;"",I68-H68,"")</f>
        <v>0</v>
      </c>
    </row>
    <row r="69" spans="1:12" x14ac:dyDescent="0.3">
      <c r="A69" s="4">
        <f t="shared" si="29"/>
        <v>455</v>
      </c>
      <c r="B69">
        <v>54</v>
      </c>
      <c r="C69" s="2">
        <v>60</v>
      </c>
      <c r="D69" s="2">
        <v>54</v>
      </c>
      <c r="F69" s="18">
        <f t="shared" si="25"/>
        <v>263</v>
      </c>
      <c r="G69" s="7">
        <f t="shared" si="28"/>
        <v>0.67125000000000001</v>
      </c>
      <c r="H69" s="3">
        <v>1349.3</v>
      </c>
      <c r="I69" s="3">
        <f t="array" ref="I69">MAX(IF(Sheet3!$A$1:$A$500=CONCATENATE("s.rule",A69,".tar.gz"), Sheet3!$B$1:$B$500))</f>
        <v>1349.3</v>
      </c>
      <c r="J69" s="3">
        <f>IFERROR(AVERAGEIF(Sheet3!$A$1:$A$500,CONCATENATE("s.rule",A69,".tar.gz"),Sheet3!$B$1:$B$500),"")</f>
        <v>1349.3</v>
      </c>
      <c r="K69" s="19">
        <f>COUNTIF(Sheet3!$A$1:$A$500,CONCATENATE("s.rule",A69,".tar.gz"))</f>
        <v>1</v>
      </c>
      <c r="L69" s="13">
        <f t="shared" si="30"/>
        <v>0</v>
      </c>
    </row>
    <row r="70" spans="1:12" x14ac:dyDescent="0.3">
      <c r="A70" s="4">
        <f t="shared" si="29"/>
        <v>456</v>
      </c>
      <c r="B70">
        <v>54</v>
      </c>
      <c r="C70" s="2">
        <v>55</v>
      </c>
      <c r="D70" s="2">
        <v>61</v>
      </c>
      <c r="F70" s="18">
        <f t="shared" si="25"/>
        <v>265</v>
      </c>
      <c r="G70" s="7">
        <f t="shared" si="28"/>
        <v>0.66874999999999996</v>
      </c>
      <c r="H70" s="3">
        <v>1313.8</v>
      </c>
      <c r="I70" s="3">
        <f t="array" ref="I70">MAX(IF(Sheet3!$A$1:$A$500=CONCATENATE("s.rule",A70,".tar.gz"), Sheet3!$B$1:$B$500))</f>
        <v>1313.8</v>
      </c>
      <c r="J70" s="3">
        <f>IFERROR(AVERAGEIF(Sheet3!$A$1:$A$500,CONCATENATE("s.rule",A70,".tar.gz"),Sheet3!$B$1:$B$500),"")</f>
        <v>1313.8</v>
      </c>
      <c r="K70" s="19">
        <f>COUNTIF(Sheet3!$A$1:$A$500,CONCATENATE("s.rule",A70,".tar.gz"))</f>
        <v>1</v>
      </c>
      <c r="L70" s="13">
        <f t="shared" si="30"/>
        <v>0</v>
      </c>
    </row>
    <row r="71" spans="1:12" x14ac:dyDescent="0.3">
      <c r="A71" s="4">
        <f t="shared" si="29"/>
        <v>457</v>
      </c>
      <c r="B71">
        <v>62</v>
      </c>
      <c r="C71" s="2">
        <v>75</v>
      </c>
      <c r="D71" s="2">
        <v>71</v>
      </c>
      <c r="F71" s="18">
        <f t="shared" si="25"/>
        <v>303</v>
      </c>
      <c r="G71" s="7">
        <f t="shared" si="28"/>
        <v>0.62125000000000008</v>
      </c>
      <c r="H71" s="3">
        <v>1304.2</v>
      </c>
      <c r="I71" s="3">
        <f t="array" ref="I71">MAX(IF(Sheet3!$A$1:$A$500=CONCATENATE("s.rule",A71,".tar.gz"), Sheet3!$B$1:$B$500))</f>
        <v>1304.2</v>
      </c>
      <c r="J71" s="3">
        <f>IFERROR(AVERAGEIF(Sheet3!$A$1:$A$500,CONCATENATE("s.rule",A71,".tar.gz"),Sheet3!$B$1:$B$500),"")</f>
        <v>1304.2</v>
      </c>
      <c r="K71" s="19">
        <f>COUNTIF(Sheet3!$A$1:$A$500,CONCATENATE("s.rule",A71,".tar.gz"))</f>
        <v>1</v>
      </c>
      <c r="L71" s="13">
        <f t="shared" si="30"/>
        <v>0</v>
      </c>
    </row>
    <row r="72" spans="1:12" x14ac:dyDescent="0.3">
      <c r="A72" s="4">
        <f t="shared" si="29"/>
        <v>458</v>
      </c>
      <c r="B72">
        <v>52</v>
      </c>
      <c r="C72" s="2">
        <v>58</v>
      </c>
      <c r="D72" s="2">
        <v>61</v>
      </c>
      <c r="F72" s="18">
        <f t="shared" si="25"/>
        <v>266</v>
      </c>
      <c r="G72" s="7">
        <f t="shared" si="28"/>
        <v>0.66749999999999998</v>
      </c>
      <c r="H72" s="3">
        <v>1297.0999999999999</v>
      </c>
      <c r="I72" s="3">
        <f t="array" ref="I72">MAX(IF(Sheet3!$A$1:$A$500=CONCATENATE("s.rule",A72,".tar.gz"), Sheet3!$B$1:$B$500))</f>
        <v>1297.0999999999999</v>
      </c>
      <c r="J72" s="3">
        <f>IFERROR(AVERAGEIF(Sheet3!$A$1:$A$500,CONCATENATE("s.rule",A72,".tar.gz"),Sheet3!$B$1:$B$500),"")</f>
        <v>1297.0999999999999</v>
      </c>
      <c r="K72" s="19">
        <f>COUNTIF(Sheet3!$A$1:$A$500,CONCATENATE("s.rule",A72,".tar.gz"))</f>
        <v>1</v>
      </c>
      <c r="L72" s="13">
        <f t="shared" si="30"/>
        <v>0</v>
      </c>
    </row>
    <row r="73" spans="1:12" x14ac:dyDescent="0.3">
      <c r="A73" s="4">
        <f t="shared" si="29"/>
        <v>459</v>
      </c>
      <c r="B73">
        <v>50</v>
      </c>
      <c r="C73" s="2">
        <v>55</v>
      </c>
      <c r="D73" s="2">
        <v>60</v>
      </c>
      <c r="F73" s="18">
        <f t="shared" si="25"/>
        <v>260</v>
      </c>
      <c r="G73" s="7">
        <f t="shared" si="28"/>
        <v>0.67500000000000004</v>
      </c>
      <c r="H73" s="3">
        <v>1343.5</v>
      </c>
      <c r="I73" s="3">
        <f t="array" ref="I73">MAX(IF(Sheet3!$A$1:$A$500=CONCATENATE("s.rule",A73,".tar.gz"), Sheet3!$B$1:$B$500))</f>
        <v>1343.5</v>
      </c>
      <c r="J73" s="3">
        <f>IFERROR(AVERAGEIF(Sheet3!$A$1:$A$500,CONCATENATE("s.rule",A73,".tar.gz"),Sheet3!$B$1:$B$500),"")</f>
        <v>1343.5</v>
      </c>
      <c r="K73" s="19">
        <f>COUNTIF(Sheet3!$A$1:$A$500,CONCATENATE("s.rule",A73,".tar.gz"))</f>
        <v>1</v>
      </c>
      <c r="L73" s="13">
        <f t="shared" si="30"/>
        <v>0</v>
      </c>
    </row>
    <row r="74" spans="1:12" x14ac:dyDescent="0.3">
      <c r="A74" s="4">
        <f t="shared" si="29"/>
        <v>460</v>
      </c>
      <c r="B74">
        <v>47</v>
      </c>
      <c r="C74" s="2">
        <v>49</v>
      </c>
      <c r="D74" s="2">
        <v>59</v>
      </c>
      <c r="F74" s="18">
        <f t="shared" si="25"/>
        <v>250</v>
      </c>
      <c r="G74" s="7">
        <f t="shared" si="28"/>
        <v>0.6875</v>
      </c>
      <c r="H74" s="3">
        <v>1344.1</v>
      </c>
      <c r="I74" s="3">
        <f t="array" ref="I74">MAX(IF(Sheet3!$A$1:$A$500=CONCATENATE("s.rule",A74,".tar.gz"), Sheet3!$B$1:$B$500))</f>
        <v>1344.1</v>
      </c>
      <c r="J74" s="3">
        <f>IFERROR(AVERAGEIF(Sheet3!$A$1:$A$500,CONCATENATE("s.rule",A74,".tar.gz"),Sheet3!$B$1:$B$500),"")</f>
        <v>1344.1</v>
      </c>
      <c r="K74" s="19">
        <f>COUNTIF(Sheet3!$A$1:$A$500,CONCATENATE("s.rule",A74,".tar.gz"))</f>
        <v>1</v>
      </c>
      <c r="L74" s="13">
        <f t="shared" si="30"/>
        <v>0</v>
      </c>
    </row>
    <row r="75" spans="1:12" x14ac:dyDescent="0.3">
      <c r="A75" s="4">
        <f t="shared" si="29"/>
        <v>461</v>
      </c>
      <c r="B75">
        <v>47</v>
      </c>
      <c r="C75" s="2">
        <v>49</v>
      </c>
      <c r="D75" s="2">
        <v>59</v>
      </c>
      <c r="F75" s="18">
        <f t="shared" si="25"/>
        <v>250</v>
      </c>
      <c r="G75" s="7">
        <f t="shared" si="28"/>
        <v>0.6875</v>
      </c>
      <c r="H75" s="3">
        <v>1340.1</v>
      </c>
      <c r="I75" s="3">
        <f t="array" ref="I75">MAX(IF(Sheet3!$A$1:$A$500=CONCATENATE("s.rule",A75,".tar.gz"), Sheet3!$B$1:$B$500))</f>
        <v>1340.1</v>
      </c>
      <c r="J75" s="3">
        <f>IFERROR(AVERAGEIF(Sheet3!$A$1:$A$500,CONCATENATE("s.rule",A75,".tar.gz"),Sheet3!$B$1:$B$500),"")</f>
        <v>1319.4499999999998</v>
      </c>
      <c r="K75" s="19">
        <f>COUNTIF(Sheet3!$A$1:$A$500,CONCATENATE("s.rule",A75,".tar.gz"))</f>
        <v>2</v>
      </c>
      <c r="L75" s="13">
        <f t="shared" si="30"/>
        <v>0</v>
      </c>
    </row>
    <row r="76" spans="1:12" x14ac:dyDescent="0.3">
      <c r="A76" s="4">
        <f t="shared" si="29"/>
        <v>462</v>
      </c>
      <c r="B76">
        <v>46</v>
      </c>
      <c r="C76" s="2">
        <v>56</v>
      </c>
      <c r="D76" s="2">
        <v>57</v>
      </c>
      <c r="F76" s="18">
        <f t="shared" si="25"/>
        <v>254</v>
      </c>
      <c r="K76" s="19"/>
      <c r="L76" s="13" t="str">
        <f t="shared" si="30"/>
        <v/>
      </c>
    </row>
    <row r="77" spans="1:12" x14ac:dyDescent="0.3">
      <c r="A77" s="4">
        <f t="shared" si="29"/>
        <v>463</v>
      </c>
      <c r="B77">
        <v>45</v>
      </c>
      <c r="C77" s="2">
        <v>61</v>
      </c>
      <c r="D77" s="2">
        <v>54</v>
      </c>
      <c r="F77" s="18">
        <f t="shared" si="25"/>
        <v>255</v>
      </c>
      <c r="G77" s="7">
        <f t="shared" si="28"/>
        <v>0.68125000000000002</v>
      </c>
      <c r="H77" s="3">
        <v>1329.9</v>
      </c>
      <c r="I77" s="3">
        <f t="array" ref="I77">MAX(IF(Sheet3!$A$1:$A$500=CONCATENATE("s.rule",A77,".tar.gz"), Sheet3!$B$1:$B$500))</f>
        <v>1329.9</v>
      </c>
      <c r="J77" s="3">
        <f>IFERROR(AVERAGEIF(Sheet3!$A$1:$A$500,CONCATENATE("s.rule",A77,".tar.gz"),Sheet3!$B$1:$B$500),"")</f>
        <v>1329.9</v>
      </c>
      <c r="K77" s="19">
        <f>COUNTIF(Sheet3!$A$1:$A$500,CONCATENATE("s.rule",A77,".tar.gz"))</f>
        <v>1</v>
      </c>
      <c r="L77" s="13">
        <f t="shared" si="30"/>
        <v>0</v>
      </c>
    </row>
    <row r="78" spans="1:12" x14ac:dyDescent="0.3">
      <c r="A78" s="4">
        <f t="shared" si="29"/>
        <v>464</v>
      </c>
      <c r="B78">
        <v>55</v>
      </c>
      <c r="C78" s="2">
        <v>55</v>
      </c>
      <c r="D78" s="2">
        <v>60</v>
      </c>
      <c r="F78" s="18">
        <f t="shared" si="25"/>
        <v>265</v>
      </c>
      <c r="G78" s="7">
        <f t="shared" si="28"/>
        <v>0.66874999999999996</v>
      </c>
      <c r="H78" s="3">
        <v>1310.5</v>
      </c>
      <c r="I78" s="3">
        <f t="array" ref="I78">MAX(IF(Sheet3!$A$1:$A$500=CONCATENATE("s.rule",A78,".tar.gz"), Sheet3!$B$1:$B$500))</f>
        <v>1310.5</v>
      </c>
      <c r="J78" s="3">
        <f>IFERROR(AVERAGEIF(Sheet3!$A$1:$A$500,CONCATENATE("s.rule",A78,".tar.gz"),Sheet3!$B$1:$B$500),"")</f>
        <v>1310.5</v>
      </c>
      <c r="K78" s="19">
        <f>COUNTIF(Sheet3!$A$1:$A$500,CONCATENATE("s.rule",A78,".tar.gz"))</f>
        <v>1</v>
      </c>
      <c r="L78" s="13">
        <f t="shared" si="30"/>
        <v>0</v>
      </c>
    </row>
    <row r="79" spans="1:12" x14ac:dyDescent="0.3">
      <c r="A79" s="4">
        <f t="shared" si="29"/>
        <v>465</v>
      </c>
      <c r="B79">
        <v>54</v>
      </c>
      <c r="C79" s="2">
        <v>58</v>
      </c>
      <c r="D79" s="2">
        <v>61</v>
      </c>
      <c r="F79" s="18">
        <f t="shared" si="25"/>
        <v>268</v>
      </c>
      <c r="G79" s="7">
        <f t="shared" si="28"/>
        <v>0.66500000000000004</v>
      </c>
      <c r="K79" s="19"/>
      <c r="L79" s="13" t="str">
        <f t="shared" si="30"/>
        <v/>
      </c>
    </row>
    <row r="80" spans="1:12" x14ac:dyDescent="0.3">
      <c r="A80" s="4" t="s">
        <v>67</v>
      </c>
      <c r="B80">
        <v>48</v>
      </c>
      <c r="C80" s="2">
        <v>60</v>
      </c>
      <c r="D80" s="2">
        <v>58</v>
      </c>
      <c r="F80" s="18">
        <f t="shared" si="25"/>
        <v>261</v>
      </c>
      <c r="K80" s="19"/>
      <c r="L80" s="13" t="str">
        <f t="shared" si="30"/>
        <v/>
      </c>
    </row>
    <row r="81" spans="1:12" x14ac:dyDescent="0.3">
      <c r="A81" s="4">
        <v>466</v>
      </c>
      <c r="B81">
        <v>54</v>
      </c>
      <c r="C81" s="2">
        <v>51</v>
      </c>
      <c r="D81" s="2">
        <v>58</v>
      </c>
      <c r="F81" s="18">
        <f t="shared" si="25"/>
        <v>258</v>
      </c>
      <c r="G81" s="7">
        <f t="shared" si="28"/>
        <v>0.67749999999999999</v>
      </c>
      <c r="H81" s="3">
        <v>1310</v>
      </c>
      <c r="I81" s="3">
        <f t="array" ref="I81">MAX(IF(Sheet3!$A$1:$A$500=CONCATENATE("s.rule",A81,".tar.gz"), Sheet3!$B$1:$B$500))</f>
        <v>1310</v>
      </c>
      <c r="J81" s="3">
        <f>IFERROR(AVERAGEIF(Sheet3!$A$1:$A$500,CONCATENATE("s.rule",A81,".tar.gz"),Sheet3!$B$1:$B$500),"")</f>
        <v>1310</v>
      </c>
      <c r="K81" s="19">
        <f>COUNTIF(Sheet3!$A$1:$A$500,CONCATENATE("s.rule",A81,".tar.gz"))</f>
        <v>1</v>
      </c>
      <c r="L81" s="13">
        <f t="shared" si="30"/>
        <v>0</v>
      </c>
    </row>
    <row r="82" spans="1:12" s="2" customFormat="1" x14ac:dyDescent="0.3">
      <c r="A82" s="4" t="s">
        <v>69</v>
      </c>
      <c r="B82" s="2">
        <v>45</v>
      </c>
      <c r="C82" s="2">
        <v>53</v>
      </c>
      <c r="D82" s="2">
        <v>55</v>
      </c>
      <c r="E82" s="22"/>
      <c r="F82" s="18">
        <f t="shared" si="25"/>
        <v>248</v>
      </c>
      <c r="G82" s="7">
        <f t="shared" si="28"/>
        <v>0.69</v>
      </c>
      <c r="H82" s="3">
        <v>1334.3</v>
      </c>
      <c r="I82" s="3">
        <f t="array" ref="I82">MAX(IF(Sheet3!$A$1:$A$500=CONCATENATE("s.rule",A82,".tar.gz"), Sheet3!$B$1:$B$500))</f>
        <v>1334.3</v>
      </c>
      <c r="J82" s="3">
        <f>IFERROR(AVERAGEIF(Sheet3!$A$1:$A$500,CONCATENATE("s.rule",A82,".tar.gz"),Sheet3!$B$1:$B$500),"")</f>
        <v>1334.3</v>
      </c>
      <c r="K82" s="19">
        <f>COUNTIF(Sheet3!$A$1:$A$500,CONCATENATE("s.rule",A82,".tar.gz"))</f>
        <v>1</v>
      </c>
      <c r="L82" s="13">
        <f t="shared" si="30"/>
        <v>0</v>
      </c>
    </row>
    <row r="83" spans="1:12" x14ac:dyDescent="0.3">
      <c r="A83" s="4">
        <v>467</v>
      </c>
      <c r="B83">
        <v>49</v>
      </c>
      <c r="C83" s="2">
        <v>53</v>
      </c>
      <c r="D83" s="2">
        <v>62</v>
      </c>
      <c r="F83" s="18">
        <f t="shared" si="25"/>
        <v>259</v>
      </c>
      <c r="G83" s="7">
        <f t="shared" si="28"/>
        <v>0.67625000000000002</v>
      </c>
      <c r="H83" s="3">
        <v>1388.5</v>
      </c>
      <c r="I83" s="3">
        <f t="array" ref="I83">MAX(IF(Sheet3!$A$1:$A$500=CONCATENATE("s.rule",A83,".tar.gz"), Sheet3!$B$1:$B$500))</f>
        <v>1388.5</v>
      </c>
      <c r="J83" s="3">
        <f>IFERROR(AVERAGEIF(Sheet3!$A$1:$A$500,CONCATENATE("s.rule",A83,".tar.gz"),Sheet3!$B$1:$B$500),"")</f>
        <v>1388.5</v>
      </c>
      <c r="K83" s="19">
        <f>COUNTIF(Sheet3!$A$1:$A$500,CONCATENATE("s.rule",A83,".tar.gz"))</f>
        <v>1</v>
      </c>
      <c r="L83" s="13">
        <f t="shared" si="30"/>
        <v>0</v>
      </c>
    </row>
    <row r="84" spans="1:12" x14ac:dyDescent="0.3">
      <c r="A84" s="4" t="s">
        <v>70</v>
      </c>
      <c r="B84">
        <v>47</v>
      </c>
      <c r="C84" s="2">
        <v>53</v>
      </c>
      <c r="D84" s="2">
        <v>56</v>
      </c>
      <c r="F84" s="18">
        <f t="shared" si="25"/>
        <v>251</v>
      </c>
      <c r="K84" s="19"/>
      <c r="L84" s="13" t="str">
        <f t="shared" si="30"/>
        <v/>
      </c>
    </row>
    <row r="85" spans="1:12" x14ac:dyDescent="0.3">
      <c r="A85" s="4">
        <v>468</v>
      </c>
      <c r="B85">
        <v>46</v>
      </c>
      <c r="C85" s="2">
        <v>54</v>
      </c>
      <c r="D85" s="2">
        <v>61</v>
      </c>
      <c r="F85" s="18">
        <f t="shared" si="25"/>
        <v>256</v>
      </c>
      <c r="G85" s="7">
        <f t="shared" si="28"/>
        <v>0.67999999999999994</v>
      </c>
      <c r="H85" s="3">
        <v>1317.8</v>
      </c>
      <c r="I85" s="3">
        <f t="array" ref="I85">MAX(IF(Sheet3!$A$1:$A$500=CONCATENATE("s.rule",A85,".tar.gz"), Sheet3!$B$1:$B$500))</f>
        <v>1317.8</v>
      </c>
      <c r="J85" s="3">
        <f>IFERROR(AVERAGEIF(Sheet3!$A$1:$A$500,CONCATENATE("s.rule",A85,".tar.gz"),Sheet3!$B$1:$B$500),"")</f>
        <v>1317.8</v>
      </c>
      <c r="K85" s="19">
        <f>COUNTIF(Sheet3!$A$1:$A$500,CONCATENATE("s.rule",A85,".tar.gz"))</f>
        <v>1</v>
      </c>
      <c r="L85" s="13">
        <f t="shared" si="30"/>
        <v>0</v>
      </c>
    </row>
    <row r="86" spans="1:12" x14ac:dyDescent="0.3">
      <c r="A86" s="4">
        <v>469</v>
      </c>
      <c r="B86">
        <v>48</v>
      </c>
      <c r="C86" s="2">
        <v>55</v>
      </c>
      <c r="D86" s="2">
        <v>58</v>
      </c>
      <c r="F86" s="18">
        <f t="shared" si="25"/>
        <v>256</v>
      </c>
      <c r="K86" s="19"/>
      <c r="L86" s="13" t="str">
        <f t="shared" si="30"/>
        <v/>
      </c>
    </row>
    <row r="87" spans="1:12" x14ac:dyDescent="0.3">
      <c r="A87" s="4">
        <v>470</v>
      </c>
      <c r="B87">
        <v>48</v>
      </c>
      <c r="C87" s="2">
        <v>54</v>
      </c>
      <c r="D87" s="2">
        <v>56</v>
      </c>
      <c r="F87" s="18">
        <f t="shared" si="25"/>
        <v>253</v>
      </c>
      <c r="G87" s="7">
        <f t="shared" si="28"/>
        <v>0.68375000000000008</v>
      </c>
      <c r="H87" s="3">
        <v>1338.1</v>
      </c>
      <c r="I87" s="3">
        <f t="array" ref="I87">MAX(IF(Sheet3!$A$1:$A$500=CONCATENATE("s.rule",A87,".tar.gz"), Sheet3!$B$1:$B$500))</f>
        <v>1338.1</v>
      </c>
      <c r="J87" s="3">
        <f>IFERROR(AVERAGEIF(Sheet3!$A$1:$A$500,CONCATENATE("s.rule",A87,".tar.gz"),Sheet3!$B$1:$B$500),"")</f>
        <v>1338.1</v>
      </c>
      <c r="K87" s="19">
        <f>COUNTIF(Sheet3!$A$1:$A$500,CONCATENATE("s.rule",A87,".tar.gz"))</f>
        <v>1</v>
      </c>
      <c r="L87" s="13">
        <f t="shared" si="30"/>
        <v>0</v>
      </c>
    </row>
    <row r="88" spans="1:12" x14ac:dyDescent="0.3">
      <c r="A88" s="4">
        <v>471</v>
      </c>
      <c r="B88">
        <v>48</v>
      </c>
      <c r="C88" s="2">
        <v>51</v>
      </c>
      <c r="D88" s="2">
        <v>54</v>
      </c>
      <c r="F88" s="18">
        <f t="shared" si="25"/>
        <v>248</v>
      </c>
      <c r="G88" s="7">
        <f t="shared" si="28"/>
        <v>0.69</v>
      </c>
      <c r="H88" s="3">
        <v>1367.7</v>
      </c>
      <c r="I88" s="3">
        <f t="array" ref="I88">MAX(IF(Sheet3!$A$1:$A$500=CONCATENATE("s.rule",A88,".tar.gz"), Sheet3!$B$1:$B$500))</f>
        <v>1367.7</v>
      </c>
      <c r="J88" s="3">
        <f>IFERROR(AVERAGEIF(Sheet3!$A$1:$A$500,CONCATENATE("s.rule",A88,".tar.gz"),Sheet3!$B$1:$B$500),"")</f>
        <v>1367.7</v>
      </c>
      <c r="K88" s="19">
        <f>COUNTIF(Sheet3!$A$1:$A$500,CONCATENATE("s.rule",A88,".tar.gz"))</f>
        <v>1</v>
      </c>
      <c r="L88" s="13">
        <f t="shared" si="30"/>
        <v>0</v>
      </c>
    </row>
    <row r="89" spans="1:12" x14ac:dyDescent="0.3">
      <c r="A89" s="4">
        <f t="shared" ref="A89:A90" si="31">A88+1</f>
        <v>472</v>
      </c>
      <c r="B89">
        <v>50</v>
      </c>
      <c r="C89" s="2">
        <v>53</v>
      </c>
      <c r="D89" s="2">
        <v>56</v>
      </c>
      <c r="F89" s="18">
        <f t="shared" si="25"/>
        <v>254</v>
      </c>
      <c r="G89" s="7">
        <f t="shared" si="28"/>
        <v>0.6825</v>
      </c>
      <c r="H89" s="3">
        <v>1352.5</v>
      </c>
      <c r="I89" s="3">
        <f t="array" ref="I89">MAX(IF(Sheet3!$A$1:$A$500=CONCATENATE("s.rule",A89,".tar.gz"), Sheet3!$B$1:$B$500))</f>
        <v>1352.5</v>
      </c>
      <c r="J89" s="3">
        <f>IFERROR(AVERAGEIF(Sheet3!$A$1:$A$500,CONCATENATE("s.rule",A89,".tar.gz"),Sheet3!$B$1:$B$500),"")</f>
        <v>1352.5</v>
      </c>
      <c r="K89" s="19">
        <f>COUNTIF(Sheet3!$A$1:$A$500,CONCATENATE("s.rule",A89,".tar.gz"))</f>
        <v>1</v>
      </c>
      <c r="L89" s="13">
        <f t="shared" si="30"/>
        <v>0</v>
      </c>
    </row>
    <row r="90" spans="1:12" x14ac:dyDescent="0.3">
      <c r="A90" s="4">
        <f t="shared" si="31"/>
        <v>473</v>
      </c>
      <c r="B90">
        <v>50</v>
      </c>
      <c r="C90" s="2">
        <v>53</v>
      </c>
      <c r="D90" s="2">
        <v>55</v>
      </c>
      <c r="F90" s="18">
        <f t="shared" si="25"/>
        <v>253</v>
      </c>
      <c r="G90" s="7">
        <f t="shared" si="28"/>
        <v>0.68375000000000008</v>
      </c>
      <c r="H90" s="3">
        <v>1334.5</v>
      </c>
      <c r="I90" s="3">
        <f t="array" ref="I90">MAX(IF(Sheet3!$A$1:$A$500=CONCATENATE("s.rule",A90,".tar.gz"), Sheet3!$B$1:$B$500))</f>
        <v>1334.5</v>
      </c>
      <c r="J90" s="3">
        <f>IFERROR(AVERAGEIF(Sheet3!$A$1:$A$500,CONCATENATE("s.rule",A90,".tar.gz"),Sheet3!$B$1:$B$500),"")</f>
        <v>1334.5</v>
      </c>
      <c r="K90" s="19">
        <f>COUNTIF(Sheet3!$A$1:$A$500,CONCATENATE("s.rule",A90,".tar.gz"))</f>
        <v>1</v>
      </c>
      <c r="L90" s="13">
        <f t="shared" si="30"/>
        <v>0</v>
      </c>
    </row>
    <row r="91" spans="1:12" x14ac:dyDescent="0.3">
      <c r="A91" s="4">
        <v>474</v>
      </c>
      <c r="B91">
        <v>48</v>
      </c>
      <c r="C91" s="2">
        <v>51</v>
      </c>
      <c r="D91" s="2">
        <v>53</v>
      </c>
      <c r="F91" s="18">
        <f t="shared" si="25"/>
        <v>247</v>
      </c>
      <c r="G91" s="7">
        <f t="shared" si="28"/>
        <v>0.69124999999999992</v>
      </c>
      <c r="H91" s="3">
        <v>1337.8</v>
      </c>
      <c r="I91" s="3">
        <f t="array" ref="I91">MAX(IF(Sheet3!$A$1:$A$500=CONCATENATE("s.rule",A91,".tar.gz"), Sheet3!$B$1:$B$500))</f>
        <v>1337.8</v>
      </c>
      <c r="J91" s="3">
        <f>IFERROR(AVERAGEIF(Sheet3!$A$1:$A$500,CONCATENATE("s.rule",A91,".tar.gz"),Sheet3!$B$1:$B$500),"")</f>
        <v>1337.8</v>
      </c>
      <c r="K91" s="19">
        <f>COUNTIF(Sheet3!$A$1:$A$500,CONCATENATE("s.rule",A91,".tar.gz"))</f>
        <v>1</v>
      </c>
      <c r="L91" s="13">
        <f t="shared" si="30"/>
        <v>0</v>
      </c>
    </row>
    <row r="92" spans="1:12" x14ac:dyDescent="0.3">
      <c r="A92" s="4">
        <v>475</v>
      </c>
      <c r="B92">
        <v>46</v>
      </c>
      <c r="C92" s="2">
        <v>57</v>
      </c>
      <c r="D92" s="2">
        <v>52</v>
      </c>
      <c r="F92" s="18">
        <f t="shared" si="25"/>
        <v>250</v>
      </c>
      <c r="G92" s="7">
        <f t="shared" si="28"/>
        <v>0.6875</v>
      </c>
      <c r="H92" s="3">
        <v>1358.7</v>
      </c>
      <c r="I92" s="3">
        <f t="array" ref="I92">MAX(IF(Sheet3!$A$1:$A$500=CONCATENATE("s.rule",A92,".tar.gz"), Sheet3!$B$1:$B$500))</f>
        <v>1358.7</v>
      </c>
      <c r="J92" s="3">
        <f>IFERROR(AVERAGEIF(Sheet3!$A$1:$A$500,CONCATENATE("s.rule",A92,".tar.gz"),Sheet3!$B$1:$B$500),"")</f>
        <v>1358.7</v>
      </c>
      <c r="K92" s="19">
        <f>COUNTIF(Sheet3!$A$1:$A$500,CONCATENATE("s.rule",A92,".tar.gz"))</f>
        <v>1</v>
      </c>
      <c r="L92" s="13">
        <f t="shared" si="30"/>
        <v>0</v>
      </c>
    </row>
    <row r="93" spans="1:12" x14ac:dyDescent="0.3">
      <c r="A93" s="4">
        <v>476</v>
      </c>
      <c r="B93">
        <v>48</v>
      </c>
      <c r="C93" s="2">
        <v>59</v>
      </c>
      <c r="D93" s="2">
        <v>67</v>
      </c>
      <c r="F93" s="18">
        <f t="shared" ref="F93:F126" si="32">SUM(B93:D93)+95</f>
        <v>269</v>
      </c>
      <c r="K93" s="19"/>
      <c r="L93" s="13" t="str">
        <f t="shared" si="30"/>
        <v/>
      </c>
    </row>
    <row r="94" spans="1:12" x14ac:dyDescent="0.3">
      <c r="A94" s="4">
        <v>477</v>
      </c>
      <c r="B94">
        <v>44</v>
      </c>
      <c r="C94" s="2">
        <v>55</v>
      </c>
      <c r="D94" s="2">
        <v>65</v>
      </c>
      <c r="F94" s="18">
        <f t="shared" si="32"/>
        <v>259</v>
      </c>
      <c r="G94" s="7">
        <f t="shared" si="28"/>
        <v>0.67625000000000002</v>
      </c>
      <c r="H94" s="3">
        <v>1314.7</v>
      </c>
      <c r="I94" s="3">
        <f t="array" ref="I94">MAX(IF(Sheet3!$A$1:$A$500=CONCATENATE("s.rule",A94,".tar.gz"), Sheet3!$B$1:$B$500))</f>
        <v>1314.7</v>
      </c>
      <c r="J94" s="3">
        <f>IFERROR(AVERAGEIF(Sheet3!$A$1:$A$500,CONCATENATE("s.rule",A94,".tar.gz"),Sheet3!$B$1:$B$500),"")</f>
        <v>1314.7</v>
      </c>
      <c r="K94" s="19">
        <f>COUNTIF(Sheet3!$A$1:$A$500,CONCATENATE("s.rule",A94,".tar.gz"))</f>
        <v>1</v>
      </c>
      <c r="L94" s="13">
        <f t="shared" si="30"/>
        <v>0</v>
      </c>
    </row>
    <row r="95" spans="1:12" x14ac:dyDescent="0.3">
      <c r="A95" s="4">
        <v>478</v>
      </c>
      <c r="B95">
        <v>47</v>
      </c>
      <c r="C95" s="2">
        <v>54</v>
      </c>
      <c r="D95" s="2">
        <v>58</v>
      </c>
      <c r="F95" s="18">
        <f t="shared" si="32"/>
        <v>254</v>
      </c>
      <c r="G95" s="7">
        <f t="shared" si="28"/>
        <v>0.6825</v>
      </c>
      <c r="H95" s="3">
        <v>1367.9</v>
      </c>
      <c r="I95" s="3">
        <f t="array" ref="I95">MAX(IF(Sheet3!$A$1:$A$500=CONCATENATE("s.rule",A95,".tar.gz"), Sheet3!$B$1:$B$500))</f>
        <v>1367.9</v>
      </c>
      <c r="J95" s="3">
        <f>IFERROR(AVERAGEIF(Sheet3!$A$1:$A$500,CONCATENATE("s.rule",A95,".tar.gz"),Sheet3!$B$1:$B$500),"")</f>
        <v>1367.9</v>
      </c>
      <c r="K95" s="19">
        <f>COUNTIF(Sheet3!$A$1:$A$500,CONCATENATE("s.rule",A95,".tar.gz"))</f>
        <v>1</v>
      </c>
      <c r="L95" s="13">
        <f t="shared" si="30"/>
        <v>0</v>
      </c>
    </row>
    <row r="96" spans="1:12" x14ac:dyDescent="0.3">
      <c r="A96" s="4">
        <v>479</v>
      </c>
      <c r="B96">
        <v>47</v>
      </c>
      <c r="C96" s="2">
        <v>54</v>
      </c>
      <c r="D96" s="2">
        <v>58</v>
      </c>
      <c r="F96" s="18">
        <f t="shared" si="32"/>
        <v>254</v>
      </c>
      <c r="G96" s="7">
        <f t="shared" si="28"/>
        <v>0.6825</v>
      </c>
      <c r="H96" s="3">
        <v>1373.6</v>
      </c>
      <c r="I96" s="3">
        <f t="array" ref="I96">MAX(IF(Sheet3!$A$1:$A$500=CONCATENATE("s.rule",A96,".tar.gz"), Sheet3!$B$1:$B$500))</f>
        <v>1373.6</v>
      </c>
      <c r="J96" s="3">
        <f>IFERROR(AVERAGEIF(Sheet3!$A$1:$A$500,CONCATENATE("s.rule",A96,".tar.gz"),Sheet3!$B$1:$B$500),"")</f>
        <v>1373.6</v>
      </c>
      <c r="K96" s="19">
        <f>COUNTIF(Sheet3!$A$1:$A$500,CONCATENATE("s.rule",A96,".tar.gz"))</f>
        <v>1</v>
      </c>
      <c r="L96" s="13">
        <f t="shared" si="30"/>
        <v>0</v>
      </c>
    </row>
    <row r="97" spans="1:12" x14ac:dyDescent="0.3">
      <c r="A97" s="4">
        <v>480</v>
      </c>
      <c r="B97">
        <v>50</v>
      </c>
      <c r="C97" s="2">
        <v>50</v>
      </c>
      <c r="D97" s="2">
        <v>56</v>
      </c>
      <c r="F97" s="18">
        <f t="shared" si="32"/>
        <v>251</v>
      </c>
      <c r="G97" s="7">
        <f t="shared" si="28"/>
        <v>0.68625000000000003</v>
      </c>
      <c r="H97" s="3">
        <v>1328.9</v>
      </c>
      <c r="I97" s="3">
        <f t="array" ref="I97">MAX(IF(Sheet3!$A$1:$A$500=CONCATENATE("s.rule",A97,".tar.gz"), Sheet3!$B$1:$B$500))</f>
        <v>1328.9</v>
      </c>
      <c r="J97" s="3">
        <f>IFERROR(AVERAGEIF(Sheet3!$A$1:$A$500,CONCATENATE("s.rule",A97,".tar.gz"),Sheet3!$B$1:$B$500),"")</f>
        <v>1328.9</v>
      </c>
      <c r="K97" s="19">
        <f>COUNTIF(Sheet3!$A$1:$A$500,CONCATENATE("s.rule",A97,".tar.gz"))</f>
        <v>1</v>
      </c>
      <c r="L97" s="13">
        <f t="shared" si="30"/>
        <v>0</v>
      </c>
    </row>
    <row r="98" spans="1:12" x14ac:dyDescent="0.3">
      <c r="A98" s="4">
        <v>481</v>
      </c>
      <c r="B98">
        <v>49</v>
      </c>
      <c r="C98" s="2">
        <v>51</v>
      </c>
      <c r="D98" s="2">
        <v>54</v>
      </c>
      <c r="F98" s="18">
        <f t="shared" si="32"/>
        <v>249</v>
      </c>
      <c r="K98" s="19"/>
      <c r="L98" s="13" t="str">
        <f t="shared" si="30"/>
        <v/>
      </c>
    </row>
    <row r="99" spans="1:12" x14ac:dyDescent="0.3">
      <c r="A99" s="4">
        <v>482</v>
      </c>
      <c r="B99">
        <v>55</v>
      </c>
      <c r="C99" s="2">
        <v>52</v>
      </c>
      <c r="D99" s="2">
        <v>53</v>
      </c>
      <c r="F99" s="18">
        <f t="shared" si="32"/>
        <v>255</v>
      </c>
      <c r="G99" s="7">
        <f t="shared" si="28"/>
        <v>0.68125000000000002</v>
      </c>
      <c r="H99" s="3">
        <v>1327.1</v>
      </c>
      <c r="I99" s="3">
        <f t="array" ref="I99">MAX(IF(Sheet3!$A$1:$A$500=CONCATENATE("s.rule",A99,".tar.gz"), Sheet3!$B$1:$B$500))</f>
        <v>1327.1</v>
      </c>
      <c r="J99" s="3">
        <f>IFERROR(AVERAGEIF(Sheet3!$A$1:$A$500,CONCATENATE("s.rule",A99,".tar.gz"),Sheet3!$B$1:$B$500),"")</f>
        <v>1327.1</v>
      </c>
      <c r="K99" s="19">
        <f>COUNTIF(Sheet3!$A$1:$A$500,CONCATENATE("s.rule",A99,".tar.gz"))</f>
        <v>1</v>
      </c>
      <c r="L99" s="13">
        <f t="shared" si="30"/>
        <v>0</v>
      </c>
    </row>
    <row r="100" spans="1:12" x14ac:dyDescent="0.3">
      <c r="A100" s="4">
        <v>483</v>
      </c>
      <c r="B100">
        <v>44</v>
      </c>
      <c r="C100" s="2">
        <v>58</v>
      </c>
      <c r="D100" s="2">
        <v>54</v>
      </c>
      <c r="F100" s="18">
        <f t="shared" si="32"/>
        <v>251</v>
      </c>
      <c r="G100" s="7">
        <f t="shared" si="28"/>
        <v>0.68625000000000003</v>
      </c>
      <c r="H100" s="3">
        <v>1368.5</v>
      </c>
      <c r="I100" s="3">
        <f t="array" ref="I100">MAX(IF(Sheet3!$A$1:$A$500=CONCATENATE("s.rule",A100,".tar.gz"), Sheet3!$B$1:$B$500))</f>
        <v>1368.5</v>
      </c>
      <c r="J100" s="3">
        <f>IFERROR(AVERAGEIF(Sheet3!$A$1:$A$500,CONCATENATE("s.rule",A100,".tar.gz"),Sheet3!$B$1:$B$500),"")</f>
        <v>1368.5</v>
      </c>
      <c r="K100" s="19">
        <f>COUNTIF(Sheet3!$A$1:$A$500,CONCATENATE("s.rule",A100,".tar.gz"))</f>
        <v>1</v>
      </c>
      <c r="L100" s="13">
        <f t="shared" ref="L100:L131" si="33">IF(I100&lt;&gt;"",I100-H100,"")</f>
        <v>0</v>
      </c>
    </row>
    <row r="101" spans="1:12" x14ac:dyDescent="0.3">
      <c r="A101" s="4">
        <v>484</v>
      </c>
      <c r="B101">
        <v>40</v>
      </c>
      <c r="C101" s="2">
        <v>50</v>
      </c>
      <c r="D101" s="2">
        <v>52</v>
      </c>
      <c r="F101" s="18">
        <f t="shared" si="32"/>
        <v>237</v>
      </c>
      <c r="G101" s="7">
        <f t="shared" si="28"/>
        <v>0.70374999999999999</v>
      </c>
      <c r="H101" s="3">
        <v>1393.3</v>
      </c>
      <c r="I101" s="3">
        <f t="array" ref="I101">MAX(IF(Sheet3!$A$1:$A$500=CONCATENATE("s.rule",A101,".tar.gz"), Sheet3!$B$1:$B$500))</f>
        <v>1393.3</v>
      </c>
      <c r="J101" s="3">
        <f>IFERROR(AVERAGEIF(Sheet3!$A$1:$A$500,CONCATENATE("s.rule",A101,".tar.gz"),Sheet3!$B$1:$B$500),"")</f>
        <v>1393.3</v>
      </c>
      <c r="K101" s="19">
        <f>COUNTIF(Sheet3!$A$1:$A$500,CONCATENATE("s.rule",A101,".tar.gz"))</f>
        <v>1</v>
      </c>
      <c r="L101" s="13">
        <f t="shared" si="33"/>
        <v>0</v>
      </c>
    </row>
    <row r="102" spans="1:12" x14ac:dyDescent="0.3">
      <c r="A102" s="4">
        <v>485</v>
      </c>
      <c r="B102">
        <v>40</v>
      </c>
      <c r="C102" s="2">
        <v>50</v>
      </c>
      <c r="D102" s="2">
        <v>56</v>
      </c>
      <c r="F102" s="18">
        <f t="shared" si="32"/>
        <v>241</v>
      </c>
      <c r="K102" s="19"/>
      <c r="L102" s="13" t="str">
        <f t="shared" si="33"/>
        <v/>
      </c>
    </row>
    <row r="103" spans="1:12" x14ac:dyDescent="0.3">
      <c r="A103" s="4">
        <v>486</v>
      </c>
      <c r="B103">
        <v>41</v>
      </c>
      <c r="C103" s="2">
        <v>49</v>
      </c>
      <c r="D103" s="2">
        <v>60</v>
      </c>
      <c r="F103" s="18">
        <f t="shared" si="32"/>
        <v>245</v>
      </c>
      <c r="K103" s="19"/>
      <c r="L103" s="13" t="str">
        <f t="shared" si="33"/>
        <v/>
      </c>
    </row>
    <row r="104" spans="1:12" x14ac:dyDescent="0.3">
      <c r="A104" s="4">
        <v>487</v>
      </c>
      <c r="B104">
        <v>46</v>
      </c>
      <c r="C104" s="2">
        <v>49</v>
      </c>
      <c r="D104" s="2">
        <v>61</v>
      </c>
      <c r="F104" s="18">
        <f t="shared" si="32"/>
        <v>251</v>
      </c>
      <c r="G104" s="7">
        <f t="shared" ref="G104:G105" si="34">1- F104/800</f>
        <v>0.68625000000000003</v>
      </c>
      <c r="I104" s="3" t="str">
        <f>_xlfn.IFNA(VLOOKUP(CONCATENATE("s.rule",A104,".tar.gz"),Sheet1!A:F,5,0),"")</f>
        <v/>
      </c>
      <c r="K104" s="19"/>
      <c r="L104" s="13" t="str">
        <f t="shared" si="33"/>
        <v/>
      </c>
    </row>
    <row r="105" spans="1:12" x14ac:dyDescent="0.3">
      <c r="A105" s="4">
        <v>488</v>
      </c>
      <c r="B105">
        <v>41</v>
      </c>
      <c r="C105" s="2">
        <v>51</v>
      </c>
      <c r="D105" s="2">
        <v>58</v>
      </c>
      <c r="F105" s="18">
        <f t="shared" si="32"/>
        <v>245</v>
      </c>
      <c r="G105" s="7">
        <f t="shared" si="34"/>
        <v>0.69374999999999998</v>
      </c>
      <c r="I105" s="3" t="str">
        <f>_xlfn.IFNA(VLOOKUP(CONCATENATE("s.rule",A105,".tar.gz"),Sheet1!A:F,5,0),"")</f>
        <v/>
      </c>
      <c r="K105" s="19"/>
      <c r="L105" s="13" t="str">
        <f t="shared" si="33"/>
        <v/>
      </c>
    </row>
    <row r="106" spans="1:12" s="2" customFormat="1" x14ac:dyDescent="0.3">
      <c r="A106" s="4" t="s">
        <v>72</v>
      </c>
      <c r="B106" s="2">
        <v>43</v>
      </c>
      <c r="C106" s="2">
        <v>54</v>
      </c>
      <c r="D106" s="2">
        <v>58</v>
      </c>
      <c r="E106" s="22"/>
      <c r="F106" s="18">
        <f t="shared" si="32"/>
        <v>250</v>
      </c>
      <c r="H106" s="3"/>
      <c r="I106" s="3"/>
      <c r="J106" s="3"/>
      <c r="K106" s="19"/>
      <c r="L106" s="13" t="str">
        <f t="shared" si="33"/>
        <v/>
      </c>
    </row>
    <row r="107" spans="1:12" x14ac:dyDescent="0.3">
      <c r="A107" s="4" t="s">
        <v>73</v>
      </c>
      <c r="B107">
        <v>41</v>
      </c>
      <c r="C107" s="2">
        <v>52</v>
      </c>
      <c r="D107" s="2">
        <v>60</v>
      </c>
      <c r="F107" s="18">
        <f t="shared" si="32"/>
        <v>248</v>
      </c>
      <c r="K107" s="19"/>
      <c r="L107" s="13" t="str">
        <f t="shared" si="33"/>
        <v/>
      </c>
    </row>
    <row r="108" spans="1:12" x14ac:dyDescent="0.3">
      <c r="A108" s="4" t="s">
        <v>71</v>
      </c>
      <c r="B108">
        <v>52</v>
      </c>
      <c r="C108" s="2">
        <v>48</v>
      </c>
      <c r="D108" s="2">
        <v>57</v>
      </c>
      <c r="F108" s="18">
        <f t="shared" si="32"/>
        <v>252</v>
      </c>
      <c r="G108" s="7">
        <f t="shared" ref="G108" si="35">1- F108/800</f>
        <v>0.68500000000000005</v>
      </c>
      <c r="I108" s="3" t="str">
        <f>_xlfn.IFNA(VLOOKUP(CONCATENATE("s.rule",A108,".tar.gz"),Sheet1!A:F,5,0),"")</f>
        <v/>
      </c>
      <c r="K108" s="19"/>
      <c r="L108" s="13" t="str">
        <f t="shared" si="33"/>
        <v/>
      </c>
    </row>
    <row r="109" spans="1:12" x14ac:dyDescent="0.3">
      <c r="A109" s="4" t="s">
        <v>74</v>
      </c>
      <c r="B109">
        <v>43</v>
      </c>
      <c r="C109" s="2">
        <v>55</v>
      </c>
      <c r="D109" s="2">
        <v>59</v>
      </c>
      <c r="F109" s="18">
        <f t="shared" si="32"/>
        <v>252</v>
      </c>
      <c r="K109" s="19"/>
      <c r="L109" s="13" t="str">
        <f t="shared" si="33"/>
        <v/>
      </c>
    </row>
    <row r="110" spans="1:12" x14ac:dyDescent="0.3">
      <c r="A110" s="4">
        <v>489</v>
      </c>
      <c r="B110">
        <v>44</v>
      </c>
      <c r="C110" s="2">
        <v>53</v>
      </c>
      <c r="D110" s="2">
        <v>60</v>
      </c>
      <c r="F110" s="18">
        <f t="shared" si="32"/>
        <v>252</v>
      </c>
      <c r="G110" s="7">
        <f t="shared" ref="G110:G115" si="36">1- F110/800</f>
        <v>0.68500000000000005</v>
      </c>
      <c r="H110" s="3">
        <v>1329.2</v>
      </c>
      <c r="I110" s="3">
        <f t="array" ref="I110">MAX(IF(Sheet3!$A$1:$A$500=CONCATENATE("s.rule",A110,".tar.gz"), Sheet3!$B$1:$B$500))</f>
        <v>1329.2</v>
      </c>
      <c r="J110" s="3">
        <f>IFERROR(AVERAGEIF(Sheet3!$A$1:$A$500,CONCATENATE("s.rule",A110,".tar.gz"),Sheet3!$B$1:$B$500),"")</f>
        <v>1329.2</v>
      </c>
      <c r="K110" s="19">
        <f>COUNTIF(Sheet3!$A$1:$A$500,CONCATENATE("s.rule",A110,".tar.gz"))</f>
        <v>1</v>
      </c>
      <c r="L110" s="13">
        <f t="shared" si="33"/>
        <v>0</v>
      </c>
    </row>
    <row r="111" spans="1:12" x14ac:dyDescent="0.3">
      <c r="A111" s="4">
        <v>490</v>
      </c>
      <c r="B111">
        <v>47</v>
      </c>
      <c r="C111" s="2">
        <v>52</v>
      </c>
      <c r="D111" s="2">
        <v>58</v>
      </c>
      <c r="F111" s="18">
        <f t="shared" si="32"/>
        <v>252</v>
      </c>
      <c r="G111" s="7">
        <f t="shared" si="36"/>
        <v>0.68500000000000005</v>
      </c>
      <c r="H111" s="3">
        <v>1364.6</v>
      </c>
      <c r="I111" s="3">
        <f t="array" ref="I111">MAX(IF(Sheet3!$A$1:$A$500=CONCATENATE("s.rule",A111,".tar.gz"), Sheet3!$B$1:$B$500))</f>
        <v>1364.6</v>
      </c>
      <c r="J111" s="3">
        <f>IFERROR(AVERAGEIF(Sheet3!$A$1:$A$500,CONCATENATE("s.rule",A111,".tar.gz"),Sheet3!$B$1:$B$500),"")</f>
        <v>1364.6</v>
      </c>
      <c r="K111" s="19">
        <f>COUNTIF(Sheet3!$A$1:$A$500,CONCATENATE("s.rule",A111,".tar.gz"))</f>
        <v>1</v>
      </c>
      <c r="L111" s="13">
        <f t="shared" si="33"/>
        <v>0</v>
      </c>
    </row>
    <row r="112" spans="1:12" x14ac:dyDescent="0.3">
      <c r="A112" s="4">
        <v>491</v>
      </c>
      <c r="B112">
        <v>39</v>
      </c>
      <c r="C112" s="2">
        <v>41</v>
      </c>
      <c r="D112" s="2">
        <v>49</v>
      </c>
      <c r="F112" s="18">
        <f t="shared" si="32"/>
        <v>224</v>
      </c>
      <c r="G112" s="7">
        <f t="shared" si="36"/>
        <v>0.72</v>
      </c>
      <c r="H112" s="3">
        <v>1373.9</v>
      </c>
      <c r="I112" s="3">
        <f t="array" ref="I112">MAX(IF(Sheet3!$A$1:$A$500=CONCATENATE("s.rule",A112,".tar.gz"), Sheet3!$B$1:$B$500))</f>
        <v>1373.9</v>
      </c>
      <c r="J112" s="3">
        <f>IFERROR(AVERAGEIF(Sheet3!$A$1:$A$500,CONCATENATE("s.rule",A112,".tar.gz"),Sheet3!$B$1:$B$500),"")</f>
        <v>1373.9</v>
      </c>
      <c r="K112" s="19">
        <f>COUNTIF(Sheet3!$A$1:$A$500,CONCATENATE("s.rule",A112,".tar.gz"))</f>
        <v>1</v>
      </c>
      <c r="L112" s="13">
        <f t="shared" si="33"/>
        <v>0</v>
      </c>
    </row>
    <row r="113" spans="1:12" x14ac:dyDescent="0.3">
      <c r="A113" s="4">
        <v>492</v>
      </c>
      <c r="B113">
        <v>38</v>
      </c>
      <c r="C113" s="2">
        <v>47</v>
      </c>
      <c r="D113" s="2">
        <v>54</v>
      </c>
      <c r="F113" s="18">
        <f t="shared" si="32"/>
        <v>234</v>
      </c>
      <c r="G113" s="7">
        <f t="shared" si="36"/>
        <v>0.70750000000000002</v>
      </c>
      <c r="H113" s="3">
        <v>1353.2</v>
      </c>
      <c r="I113" s="3">
        <f t="array" ref="I113">MAX(IF(Sheet3!$A$1:$A$500=CONCATENATE("s.rule",A113,".tar.gz"), Sheet3!$B$1:$B$500))</f>
        <v>1353.2</v>
      </c>
      <c r="J113" s="3">
        <f>IFERROR(AVERAGEIF(Sheet3!$A$1:$A$500,CONCATENATE("s.rule",A113,".tar.gz"),Sheet3!$B$1:$B$500),"")</f>
        <v>1353.2</v>
      </c>
      <c r="K113" s="19">
        <f>COUNTIF(Sheet3!$A$1:$A$500,CONCATENATE("s.rule",A113,".tar.gz"))</f>
        <v>1</v>
      </c>
      <c r="L113" s="13">
        <f t="shared" si="33"/>
        <v>0</v>
      </c>
    </row>
    <row r="114" spans="1:12" x14ac:dyDescent="0.3">
      <c r="A114" s="4">
        <v>493</v>
      </c>
      <c r="B114">
        <v>42</v>
      </c>
      <c r="C114" s="2">
        <v>46</v>
      </c>
      <c r="D114" s="2">
        <v>53</v>
      </c>
      <c r="F114" s="18">
        <f t="shared" si="32"/>
        <v>236</v>
      </c>
      <c r="G114" s="7">
        <f t="shared" si="36"/>
        <v>0.70500000000000007</v>
      </c>
      <c r="H114" s="3">
        <v>1373.5</v>
      </c>
      <c r="I114" s="3">
        <f t="array" ref="I114">MAX(IF(Sheet3!$A$1:$A$500=CONCATENATE("s.rule",A114,".tar.gz"), Sheet3!$B$1:$B$500))</f>
        <v>1373.5</v>
      </c>
      <c r="J114" s="3">
        <f>IFERROR(AVERAGEIF(Sheet3!$A$1:$A$500,CONCATENATE("s.rule",A114,".tar.gz"),Sheet3!$B$1:$B$500),"")</f>
        <v>1361.8</v>
      </c>
      <c r="K114" s="19">
        <f>COUNTIF(Sheet3!$A$1:$A$500,CONCATENATE("s.rule",A114,".tar.gz"))</f>
        <v>2</v>
      </c>
      <c r="L114" s="13">
        <f t="shared" si="33"/>
        <v>0</v>
      </c>
    </row>
    <row r="115" spans="1:12" x14ac:dyDescent="0.3">
      <c r="A115" s="4">
        <v>494</v>
      </c>
      <c r="B115">
        <v>43</v>
      </c>
      <c r="C115" s="2">
        <v>45</v>
      </c>
      <c r="D115" s="2">
        <v>52</v>
      </c>
      <c r="F115" s="18">
        <f t="shared" si="32"/>
        <v>235</v>
      </c>
      <c r="G115" s="7">
        <f t="shared" si="36"/>
        <v>0.70625000000000004</v>
      </c>
      <c r="H115" s="3">
        <v>1331.9</v>
      </c>
      <c r="I115" s="3">
        <f t="array" ref="I115">MAX(IF(Sheet3!$A$1:$A$500=CONCATENATE("s.rule",A115,".tar.gz"), Sheet3!$B$1:$B$500))</f>
        <v>1331.9</v>
      </c>
      <c r="J115" s="3">
        <f>IFERROR(AVERAGEIF(Sheet3!$A$1:$A$500,CONCATENATE("s.rule",A115,".tar.gz"),Sheet3!$B$1:$B$500),"")</f>
        <v>1331.9</v>
      </c>
      <c r="K115" s="19">
        <f>COUNTIF(Sheet3!$A$1:$A$500,CONCATENATE("s.rule",A115,".tar.gz"))</f>
        <v>1</v>
      </c>
      <c r="L115" s="13">
        <f t="shared" si="33"/>
        <v>0</v>
      </c>
    </row>
    <row r="116" spans="1:12" x14ac:dyDescent="0.3">
      <c r="A116" s="4">
        <v>495</v>
      </c>
      <c r="B116">
        <v>43</v>
      </c>
      <c r="C116" s="2">
        <v>45</v>
      </c>
      <c r="D116" s="2">
        <v>52</v>
      </c>
      <c r="F116" s="18">
        <f t="shared" si="32"/>
        <v>235</v>
      </c>
      <c r="J116" s="3" t="str">
        <f>IFERROR(AVERAGEIF(Sheet1!$A$1:$A$100,CONCATENATE("s.rule",A116,".tar.gz"),Sheet1!$E$1:$E$100),"")</f>
        <v/>
      </c>
      <c r="K116" s="19"/>
      <c r="L116" s="13" t="str">
        <f t="shared" si="33"/>
        <v/>
      </c>
    </row>
    <row r="117" spans="1:12" x14ac:dyDescent="0.3">
      <c r="A117" s="4">
        <v>496</v>
      </c>
      <c r="B117">
        <v>34</v>
      </c>
      <c r="C117" s="2">
        <v>42</v>
      </c>
      <c r="D117" s="2">
        <v>48</v>
      </c>
      <c r="F117" s="18">
        <f t="shared" si="32"/>
        <v>219</v>
      </c>
      <c r="G117" s="7">
        <f t="shared" ref="G117:G124" si="37">1- F117/800</f>
        <v>0.72625000000000006</v>
      </c>
      <c r="H117" s="3">
        <v>1332.7</v>
      </c>
      <c r="I117" s="3">
        <f t="array" ref="I117">MAX(IF(Sheet3!$A$1:$A$500=CONCATENATE("s.rule",A117,".tar.gz"), Sheet3!$B$1:$B$500))</f>
        <v>1332.7</v>
      </c>
      <c r="J117" s="3">
        <f>IFERROR(AVERAGEIF(Sheet3!$A$1:$A$500,CONCATENATE("s.rule",A117,".tar.gz"),Sheet3!$B$1:$B$500),"")</f>
        <v>1332.7</v>
      </c>
      <c r="K117" s="19">
        <f>COUNTIF(Sheet3!$A$1:$A$500,CONCATENATE("s.rule",A117,".tar.gz"))</f>
        <v>1</v>
      </c>
      <c r="L117" s="13">
        <f t="shared" si="33"/>
        <v>0</v>
      </c>
    </row>
    <row r="118" spans="1:12" x14ac:dyDescent="0.3">
      <c r="A118" s="4">
        <f t="shared" ref="A118:A122" si="38">A117+1</f>
        <v>497</v>
      </c>
      <c r="B118">
        <v>34</v>
      </c>
      <c r="C118" s="2">
        <v>42</v>
      </c>
      <c r="D118" s="2">
        <v>48</v>
      </c>
      <c r="F118" s="18">
        <f t="shared" si="32"/>
        <v>219</v>
      </c>
      <c r="K118" s="19"/>
      <c r="L118" s="13" t="str">
        <f t="shared" si="33"/>
        <v/>
      </c>
    </row>
    <row r="119" spans="1:12" x14ac:dyDescent="0.3">
      <c r="A119" s="4">
        <f t="shared" si="38"/>
        <v>498</v>
      </c>
      <c r="B119">
        <v>36</v>
      </c>
      <c r="C119" s="2">
        <v>43</v>
      </c>
      <c r="D119" s="2">
        <v>46</v>
      </c>
      <c r="F119" s="18">
        <f t="shared" si="32"/>
        <v>220</v>
      </c>
      <c r="G119" s="7">
        <f t="shared" si="37"/>
        <v>0.72499999999999998</v>
      </c>
      <c r="H119" s="3">
        <v>1369.2</v>
      </c>
      <c r="I119" s="3">
        <f t="array" ref="I119">MAX(IF(Sheet3!$A$1:$A$500=CONCATENATE("s.rule",A119,".tar.gz"), Sheet3!$B$1:$B$500))</f>
        <v>1369.2</v>
      </c>
      <c r="J119" s="3">
        <f>IFERROR(AVERAGEIF(Sheet3!$A$1:$A$500,CONCATENATE("s.rule",A119,".tar.gz"),Sheet3!$B$1:$B$500),"")</f>
        <v>1369.2</v>
      </c>
      <c r="K119" s="19">
        <f>COUNTIF(Sheet3!$A$1:$A$500,CONCATENATE("s.rule",A119,".tar.gz"))</f>
        <v>1</v>
      </c>
      <c r="L119" s="13">
        <f t="shared" si="33"/>
        <v>0</v>
      </c>
    </row>
    <row r="120" spans="1:12" x14ac:dyDescent="0.3">
      <c r="A120" s="4">
        <f t="shared" si="38"/>
        <v>499</v>
      </c>
      <c r="B120">
        <v>36</v>
      </c>
      <c r="C120" s="2">
        <v>44</v>
      </c>
      <c r="D120" s="2">
        <v>45</v>
      </c>
      <c r="F120" s="18">
        <f t="shared" si="32"/>
        <v>220</v>
      </c>
      <c r="G120" s="7">
        <f t="shared" si="37"/>
        <v>0.72499999999999998</v>
      </c>
      <c r="H120" s="3">
        <v>1358.8</v>
      </c>
      <c r="I120" s="3">
        <f t="array" ref="I120">MAX(IF(Sheet3!$A$1:$A$500=CONCATENATE("s.rule",A120,".tar.gz"), Sheet3!$B$1:$B$500))</f>
        <v>1358.8</v>
      </c>
      <c r="J120" s="3">
        <f>IFERROR(AVERAGEIF(Sheet3!$A$1:$A$500,CONCATENATE("s.rule",A120,".tar.gz"),Sheet3!$B$1:$B$500),"")</f>
        <v>1358.8</v>
      </c>
      <c r="K120" s="19">
        <f>COUNTIF(Sheet3!$A$1:$A$500,CONCATENATE("s.rule",A120,".tar.gz"))</f>
        <v>1</v>
      </c>
      <c r="L120" s="13">
        <f t="shared" si="33"/>
        <v>0</v>
      </c>
    </row>
    <row r="121" spans="1:12" x14ac:dyDescent="0.3">
      <c r="A121" s="4">
        <f t="shared" si="38"/>
        <v>500</v>
      </c>
      <c r="B121" s="2">
        <v>36</v>
      </c>
      <c r="C121" s="2">
        <v>50</v>
      </c>
      <c r="D121" s="2">
        <v>45</v>
      </c>
      <c r="F121" s="18">
        <f t="shared" si="32"/>
        <v>226</v>
      </c>
      <c r="J121" s="3" t="str">
        <f>IFERROR(AVERAGEIF(Sheet1!$A$1:$A$100,CONCATENATE("s.rule",A121,".tar.gz"),Sheet1!$E$1:$E$100),"")</f>
        <v/>
      </c>
      <c r="K121" s="19"/>
      <c r="L121" s="13" t="str">
        <f t="shared" si="33"/>
        <v/>
      </c>
    </row>
    <row r="122" spans="1:12" x14ac:dyDescent="0.3">
      <c r="A122" s="4">
        <f t="shared" si="38"/>
        <v>501</v>
      </c>
      <c r="B122" s="2">
        <v>36</v>
      </c>
      <c r="C122" s="2">
        <v>45</v>
      </c>
      <c r="D122" s="2">
        <v>43</v>
      </c>
      <c r="F122" s="18">
        <f t="shared" si="32"/>
        <v>219</v>
      </c>
      <c r="G122" s="7">
        <f t="shared" si="37"/>
        <v>0.72625000000000006</v>
      </c>
      <c r="H122" s="3">
        <v>1382.8</v>
      </c>
      <c r="I122" s="3">
        <f t="array" ref="I122">MAX(IF(Sheet3!$A$1:$A$500=CONCATENATE("s.rule",A122,".tar.gz"), Sheet3!$B$1:$B$500))</f>
        <v>1382.8</v>
      </c>
      <c r="J122" s="3">
        <f>IFERROR(AVERAGEIF(Sheet3!$A$1:$A$500,CONCATENATE("s.rule",A122,".tar.gz"),Sheet3!$B$1:$B$500),"")</f>
        <v>1382.8</v>
      </c>
      <c r="K122" s="19">
        <f>COUNTIF(Sheet3!$A$1:$A$500,CONCATENATE("s.rule",A122,".tar.gz"))</f>
        <v>1</v>
      </c>
      <c r="L122" s="13">
        <f t="shared" si="33"/>
        <v>0</v>
      </c>
    </row>
    <row r="123" spans="1:12" x14ac:dyDescent="0.3">
      <c r="A123" s="4">
        <v>502</v>
      </c>
      <c r="B123">
        <v>38</v>
      </c>
      <c r="C123" s="2">
        <v>52</v>
      </c>
      <c r="D123" s="2">
        <v>46</v>
      </c>
      <c r="F123" s="18">
        <f t="shared" si="32"/>
        <v>231</v>
      </c>
      <c r="J123" s="3" t="str">
        <f>IFERROR(AVERAGEIF(Sheet1!$A$1:$A$100,CONCATENATE("s.rule",A123,".tar.gz"),Sheet1!$E$1:$E$100),"")</f>
        <v/>
      </c>
      <c r="K123" s="19"/>
      <c r="L123" s="13" t="str">
        <f t="shared" si="33"/>
        <v/>
      </c>
    </row>
    <row r="124" spans="1:12" x14ac:dyDescent="0.3">
      <c r="A124" s="4" t="s">
        <v>75</v>
      </c>
      <c r="B124">
        <v>41</v>
      </c>
      <c r="C124" s="2">
        <v>47</v>
      </c>
      <c r="D124" s="2">
        <v>40</v>
      </c>
      <c r="F124" s="18">
        <f t="shared" si="32"/>
        <v>223</v>
      </c>
      <c r="G124" s="7">
        <f t="shared" si="37"/>
        <v>0.72124999999999995</v>
      </c>
      <c r="H124" s="3">
        <v>1434.7</v>
      </c>
      <c r="I124" s="3">
        <f t="array" ref="I124">MAX(IF(Sheet3!$A$1:$A$500=CONCATENATE("s.rule",A124,".tar.gz"), Sheet3!$B$1:$B$500))</f>
        <v>1434.7</v>
      </c>
      <c r="J124" s="3">
        <f>IFERROR(AVERAGEIF(Sheet3!$A$1:$A$500,CONCATENATE("s.rule",A124,".tar.gz"),Sheet3!$B$1:$B$500),"")</f>
        <v>1434.7</v>
      </c>
      <c r="K124" s="19">
        <f>COUNTIF(Sheet3!$A$1:$A$500,CONCATENATE("s.rule",A124,".tar.gz"))</f>
        <v>1</v>
      </c>
      <c r="L124" s="13">
        <f t="shared" si="33"/>
        <v>0</v>
      </c>
    </row>
    <row r="125" spans="1:12" x14ac:dyDescent="0.3">
      <c r="A125" s="4" t="s">
        <v>76</v>
      </c>
      <c r="B125">
        <v>38</v>
      </c>
      <c r="C125" s="2">
        <v>47</v>
      </c>
      <c r="D125" s="2">
        <v>43</v>
      </c>
      <c r="F125" s="18">
        <f t="shared" si="32"/>
        <v>223</v>
      </c>
      <c r="J125" s="3" t="str">
        <f>IFERROR(AVERAGEIF(Sheet1!$A$1:$A$100,CONCATENATE("s.rule",A125,".tar.gz"),Sheet1!$E$1:$E$100),"")</f>
        <v/>
      </c>
      <c r="K125" s="19"/>
      <c r="L125" s="13" t="str">
        <f t="shared" si="33"/>
        <v/>
      </c>
    </row>
    <row r="126" spans="1:12" x14ac:dyDescent="0.3">
      <c r="A126" s="4" t="s">
        <v>77</v>
      </c>
      <c r="B126">
        <v>36</v>
      </c>
      <c r="C126" s="2">
        <v>45</v>
      </c>
      <c r="D126" s="2">
        <v>43</v>
      </c>
      <c r="F126" s="18">
        <f t="shared" si="32"/>
        <v>219</v>
      </c>
      <c r="J126" s="3" t="str">
        <f>IFERROR(AVERAGEIF(Sheet1!$A$1:$A$100,CONCATENATE("s.rule",A126,".tar.gz"),Sheet1!$E$1:$E$100),"")</f>
        <v/>
      </c>
      <c r="K126" s="19"/>
      <c r="L126" s="13" t="str">
        <f t="shared" si="33"/>
        <v/>
      </c>
    </row>
    <row r="127" spans="1:12" x14ac:dyDescent="0.3">
      <c r="A127" s="4">
        <v>503</v>
      </c>
      <c r="B127">
        <v>40</v>
      </c>
      <c r="C127" s="2">
        <v>45</v>
      </c>
      <c r="D127" s="2">
        <v>43</v>
      </c>
      <c r="E127" s="22">
        <v>95</v>
      </c>
      <c r="F127" s="2">
        <f t="shared" ref="F127:F158" si="39">SUM(B127:E127)</f>
        <v>223</v>
      </c>
      <c r="G127" s="7">
        <f t="shared" ref="G127:G209" si="40">1- F127/800</f>
        <v>0.72124999999999995</v>
      </c>
      <c r="J127" s="3" t="str">
        <f>IFERROR(AVERAGEIF(Sheet1!$A$1:$A$100,CONCATENATE("s.rule",A127,".tar.gz"),Sheet1!$E$1:$E$100),"")</f>
        <v/>
      </c>
      <c r="K127" s="19"/>
      <c r="L127" s="13" t="str">
        <f t="shared" si="33"/>
        <v/>
      </c>
    </row>
    <row r="128" spans="1:12" x14ac:dyDescent="0.3">
      <c r="A128" s="4">
        <v>504</v>
      </c>
      <c r="B128">
        <v>41</v>
      </c>
      <c r="C128" s="2">
        <v>47</v>
      </c>
      <c r="D128" s="2">
        <v>44</v>
      </c>
      <c r="E128" s="22">
        <v>94</v>
      </c>
      <c r="F128" s="2">
        <f t="shared" si="39"/>
        <v>226</v>
      </c>
      <c r="G128" s="7">
        <f t="shared" si="40"/>
        <v>0.71750000000000003</v>
      </c>
      <c r="J128" s="3" t="str">
        <f>IFERROR(AVERAGEIF(Sheet1!$A$1:$A$100,CONCATENATE("s.rule",A128,".tar.gz"),Sheet1!$E$1:$E$100),"")</f>
        <v/>
      </c>
      <c r="K128" s="19"/>
      <c r="L128" s="13" t="str">
        <f t="shared" si="33"/>
        <v/>
      </c>
    </row>
    <row r="129" spans="1:12" x14ac:dyDescent="0.3">
      <c r="A129" s="4" t="s">
        <v>78</v>
      </c>
      <c r="B129">
        <v>40</v>
      </c>
      <c r="C129" s="2">
        <v>45</v>
      </c>
      <c r="D129" s="2">
        <v>44</v>
      </c>
      <c r="E129" s="22">
        <v>94</v>
      </c>
      <c r="F129" s="2">
        <f t="shared" si="39"/>
        <v>223</v>
      </c>
      <c r="G129" s="7">
        <f t="shared" si="40"/>
        <v>0.72124999999999995</v>
      </c>
      <c r="J129" s="3" t="str">
        <f>IFERROR(AVERAGEIF(Sheet1!$A$1:$A$100,CONCATENATE("s.rule",A129,".tar.gz"),Sheet1!$E$1:$E$100),"")</f>
        <v/>
      </c>
      <c r="K129" s="19"/>
      <c r="L129" s="13" t="str">
        <f t="shared" si="33"/>
        <v/>
      </c>
    </row>
    <row r="130" spans="1:12" x14ac:dyDescent="0.3">
      <c r="A130" s="4">
        <v>505</v>
      </c>
      <c r="B130">
        <v>32</v>
      </c>
      <c r="C130" s="2">
        <v>47</v>
      </c>
      <c r="D130" s="2">
        <v>44</v>
      </c>
      <c r="E130" s="22">
        <v>84</v>
      </c>
      <c r="F130" s="2">
        <f t="shared" si="39"/>
        <v>207</v>
      </c>
      <c r="G130" s="7">
        <f t="shared" si="40"/>
        <v>0.74124999999999996</v>
      </c>
      <c r="H130" s="3">
        <v>1434</v>
      </c>
      <c r="I130" s="3">
        <f t="array" ref="I130">MAX(IF(Sheet3!$A$1:$A$500=CONCATENATE("s.rule",A130,".tar.gz"), Sheet3!$B$1:$B$500))</f>
        <v>1434</v>
      </c>
      <c r="J130" s="3">
        <f>IFERROR(AVERAGEIF(Sheet3!$A$1:$A$500,CONCATENATE("s.rule",A130,".tar.gz"),Sheet3!$B$1:$B$500),"")</f>
        <v>1434</v>
      </c>
      <c r="K130" s="19">
        <f>COUNTIF(Sheet3!$A$1:$A$500,CONCATENATE("s.rule",A130,".tar.gz"))</f>
        <v>1</v>
      </c>
      <c r="L130" s="13">
        <f t="shared" si="33"/>
        <v>0</v>
      </c>
    </row>
    <row r="131" spans="1:12" x14ac:dyDescent="0.3">
      <c r="A131" s="4">
        <v>506</v>
      </c>
      <c r="B131">
        <v>29</v>
      </c>
      <c r="C131" s="2">
        <v>46</v>
      </c>
      <c r="D131" s="2">
        <v>47</v>
      </c>
      <c r="E131" s="22">
        <v>82</v>
      </c>
      <c r="F131" s="2">
        <f t="shared" si="39"/>
        <v>204</v>
      </c>
      <c r="G131" s="7">
        <f t="shared" si="40"/>
        <v>0.745</v>
      </c>
      <c r="H131" s="3">
        <v>1394</v>
      </c>
      <c r="I131" s="3">
        <f t="array" ref="I131">MAX(IF(Sheet3!$A$1:$A$500=CONCATENATE("s.rule",A131,".tar.gz"), Sheet3!$B$1:$B$500))</f>
        <v>1394</v>
      </c>
      <c r="J131" s="3">
        <f>IFERROR(AVERAGEIF(Sheet3!$A$1:$A$500,CONCATENATE("s.rule",A131,".tar.gz"),Sheet3!$B$1:$B$500),"")</f>
        <v>1394</v>
      </c>
      <c r="K131" s="19">
        <f>COUNTIF(Sheet3!$A$1:$A$500,CONCATENATE("s.rule",A131,".tar.gz"))</f>
        <v>1</v>
      </c>
      <c r="L131" s="13">
        <f t="shared" si="33"/>
        <v>0</v>
      </c>
    </row>
    <row r="132" spans="1:12" x14ac:dyDescent="0.3">
      <c r="A132" s="4">
        <v>507</v>
      </c>
      <c r="B132">
        <v>35</v>
      </c>
      <c r="C132" s="2">
        <v>49</v>
      </c>
      <c r="D132" s="2">
        <v>48</v>
      </c>
      <c r="E132" s="22">
        <v>86</v>
      </c>
      <c r="F132" s="2">
        <f t="shared" si="39"/>
        <v>218</v>
      </c>
      <c r="G132" s="7">
        <f t="shared" si="40"/>
        <v>0.72750000000000004</v>
      </c>
      <c r="H132" s="3">
        <v>1403.6</v>
      </c>
      <c r="I132" s="3">
        <f t="array" ref="I132">MAX(IF(Sheet3!$A$1:$A$500=CONCATENATE("s.rule",A132,".tar.gz"), Sheet3!$B$1:$B$500))</f>
        <v>1403.6</v>
      </c>
      <c r="J132" s="3">
        <f>IFERROR(AVERAGEIF(Sheet3!$A$1:$A$500,CONCATENATE("s.rule",A132,".tar.gz"),Sheet3!$B$1:$B$500),"")</f>
        <v>1403.6</v>
      </c>
      <c r="K132" s="19">
        <f>COUNTIF(Sheet3!$A$1:$A$500,CONCATENATE("s.rule",A132,".tar.gz"))</f>
        <v>1</v>
      </c>
      <c r="L132" s="13">
        <f t="shared" ref="L132:L144" si="41">IF(I132&lt;&gt;"",I132-H132,"")</f>
        <v>0</v>
      </c>
    </row>
    <row r="133" spans="1:12" x14ac:dyDescent="0.3">
      <c r="A133" s="4">
        <v>508</v>
      </c>
      <c r="B133">
        <v>47</v>
      </c>
      <c r="C133" s="2">
        <v>44</v>
      </c>
      <c r="D133" s="2">
        <v>43</v>
      </c>
      <c r="E133" s="22">
        <v>84</v>
      </c>
      <c r="F133" s="2">
        <f t="shared" si="39"/>
        <v>218</v>
      </c>
      <c r="G133" s="7">
        <f t="shared" si="40"/>
        <v>0.72750000000000004</v>
      </c>
      <c r="J133" s="3" t="str">
        <f>IFERROR(AVERAGEIF(Sheet1!$A$1:$A$100,CONCATENATE("s.rule",A133,".tar.gz"),Sheet1!$E$1:$E$100),"")</f>
        <v/>
      </c>
      <c r="K133" s="19"/>
      <c r="L133" s="13" t="str">
        <f t="shared" si="41"/>
        <v/>
      </c>
    </row>
    <row r="134" spans="1:12" x14ac:dyDescent="0.3">
      <c r="A134" s="4">
        <v>509</v>
      </c>
      <c r="B134">
        <v>38</v>
      </c>
      <c r="C134" s="2">
        <v>41</v>
      </c>
      <c r="D134" s="2">
        <v>42</v>
      </c>
      <c r="E134" s="22">
        <v>88</v>
      </c>
      <c r="F134" s="2">
        <f t="shared" si="39"/>
        <v>209</v>
      </c>
      <c r="G134" s="7">
        <f t="shared" si="40"/>
        <v>0.73875000000000002</v>
      </c>
      <c r="H134" s="3">
        <v>1424</v>
      </c>
      <c r="I134" s="3">
        <f t="array" ref="I134">MAX(IF(Sheet3!$A$1:$A$500=CONCATENATE("s.rule",A134,".tar.gz"), Sheet3!$B$1:$B$500))</f>
        <v>1424</v>
      </c>
      <c r="J134" s="3">
        <f>IFERROR(AVERAGEIF(Sheet3!$A$1:$A$500,CONCATENATE("s.rule",A134,".tar.gz"),Sheet3!$B$1:$B$500),"")</f>
        <v>1424</v>
      </c>
      <c r="K134" s="19">
        <f>COUNTIF(Sheet3!$A$1:$A$500,CONCATENATE("s.rule",A134,".tar.gz"))</f>
        <v>1</v>
      </c>
      <c r="L134" s="13">
        <f t="shared" si="41"/>
        <v>0</v>
      </c>
    </row>
    <row r="135" spans="1:12" x14ac:dyDescent="0.3">
      <c r="A135" s="4">
        <v>510</v>
      </c>
      <c r="B135">
        <v>45</v>
      </c>
      <c r="C135" s="2">
        <v>49</v>
      </c>
      <c r="D135" s="2">
        <v>38</v>
      </c>
      <c r="E135" s="22">
        <v>85</v>
      </c>
      <c r="F135" s="2">
        <f t="shared" si="39"/>
        <v>217</v>
      </c>
      <c r="G135" s="7">
        <f t="shared" si="40"/>
        <v>0.72875000000000001</v>
      </c>
      <c r="J135" s="3" t="str">
        <f>IFERROR(AVERAGEIF(Sheet1!$A$1:$A$100,CONCATENATE("s.rule",A135,".tar.gz"),Sheet1!$E$1:$E$100),"")</f>
        <v/>
      </c>
      <c r="K135" s="19"/>
      <c r="L135" s="13" t="str">
        <f t="shared" si="41"/>
        <v/>
      </c>
    </row>
    <row r="136" spans="1:12" x14ac:dyDescent="0.3">
      <c r="A136" s="4" t="s">
        <v>79</v>
      </c>
      <c r="B136">
        <v>45</v>
      </c>
      <c r="C136" s="2">
        <v>38</v>
      </c>
      <c r="D136" s="2">
        <v>35</v>
      </c>
      <c r="E136" s="22">
        <v>85</v>
      </c>
      <c r="F136" s="2">
        <f t="shared" si="39"/>
        <v>203</v>
      </c>
      <c r="G136" s="7">
        <f t="shared" si="40"/>
        <v>0.74625000000000008</v>
      </c>
      <c r="H136" s="3">
        <v>1435.6</v>
      </c>
      <c r="I136" s="3">
        <f t="array" ref="I136">MAX(IF(Sheet3!$A$1:$A$500=CONCATENATE("s.rule",A136,".tar.gz"), Sheet3!$B$1:$B$500))</f>
        <v>1435.6</v>
      </c>
      <c r="J136" s="3">
        <f>IFERROR(AVERAGEIF(Sheet3!$A$1:$A$500,CONCATENATE("s.rule",A136,".tar.gz"),Sheet3!$B$1:$B$500),"")</f>
        <v>1435.6</v>
      </c>
      <c r="K136" s="19">
        <f>COUNTIF(Sheet3!$A$1:$A$500,CONCATENATE("s.rule",A136,".tar.gz"))</f>
        <v>1</v>
      </c>
      <c r="L136" s="13">
        <f t="shared" si="41"/>
        <v>0</v>
      </c>
    </row>
    <row r="137" spans="1:12" x14ac:dyDescent="0.3">
      <c r="A137" s="4" t="s">
        <v>81</v>
      </c>
      <c r="B137">
        <v>45</v>
      </c>
      <c r="C137" s="2">
        <v>37</v>
      </c>
      <c r="D137" s="2">
        <v>35</v>
      </c>
      <c r="E137" s="22">
        <v>86</v>
      </c>
      <c r="F137" s="2">
        <f t="shared" si="39"/>
        <v>203</v>
      </c>
      <c r="G137" s="7">
        <f t="shared" si="40"/>
        <v>0.74625000000000008</v>
      </c>
      <c r="H137" s="3">
        <v>1394</v>
      </c>
      <c r="I137" s="3">
        <f t="array" ref="I137">MAX(IF(Sheet3!$A$1:$A$500=CONCATENATE("s.rule",A137,".tar.gz"), Sheet3!$B$1:$B$500))</f>
        <v>1394</v>
      </c>
      <c r="J137" s="3">
        <f>IFERROR(AVERAGEIF(Sheet3!$A$1:$A$500,CONCATENATE("s.rule",A137,".tar.gz"),Sheet3!$B$1:$B$500),"")</f>
        <v>1394</v>
      </c>
      <c r="K137" s="19">
        <f>COUNTIF(Sheet3!$A$1:$A$500,CONCATENATE("s.rule",A137,".tar.gz"))</f>
        <v>1</v>
      </c>
      <c r="L137" s="13">
        <f t="shared" si="41"/>
        <v>0</v>
      </c>
    </row>
    <row r="138" spans="1:12" x14ac:dyDescent="0.3">
      <c r="A138" s="4">
        <v>511</v>
      </c>
      <c r="B138">
        <v>40</v>
      </c>
      <c r="C138" s="2">
        <v>41</v>
      </c>
      <c r="D138" s="2">
        <v>37</v>
      </c>
      <c r="E138" s="22">
        <v>84</v>
      </c>
      <c r="F138" s="2">
        <f t="shared" si="39"/>
        <v>202</v>
      </c>
      <c r="G138" s="7">
        <f t="shared" si="40"/>
        <v>0.74750000000000005</v>
      </c>
      <c r="H138" s="3">
        <v>1449.6</v>
      </c>
      <c r="I138" s="3">
        <f t="array" ref="I138">MAX(IF(Sheet3!$A$1:$A$500=CONCATENATE("s.rule",A138,".tar.gz"), Sheet3!$B$1:$B$500))</f>
        <v>1449.6</v>
      </c>
      <c r="J138" s="3">
        <f>IFERROR(AVERAGEIF(Sheet3!$A$1:$A$500,CONCATENATE("s.rule",A138,".tar.gz"),Sheet3!$B$1:$B$500),"")</f>
        <v>1449.6</v>
      </c>
      <c r="K138" s="19">
        <f>COUNTIF(Sheet3!$A$1:$A$500,CONCATENATE("s.rule",A138,".tar.gz"))</f>
        <v>1</v>
      </c>
      <c r="L138" s="13">
        <f t="shared" si="41"/>
        <v>0</v>
      </c>
    </row>
    <row r="139" spans="1:12" s="2" customFormat="1" x14ac:dyDescent="0.3">
      <c r="A139" s="8" t="s">
        <v>97</v>
      </c>
      <c r="B139" s="2">
        <v>26</v>
      </c>
      <c r="C139" s="2">
        <v>19</v>
      </c>
      <c r="D139" s="2">
        <v>31</v>
      </c>
      <c r="E139" s="22">
        <v>56</v>
      </c>
      <c r="F139" s="2">
        <f t="shared" si="39"/>
        <v>132</v>
      </c>
      <c r="G139" s="7">
        <f t="shared" si="40"/>
        <v>0.83499999999999996</v>
      </c>
      <c r="H139" s="3">
        <v>1473.8</v>
      </c>
      <c r="I139" s="3">
        <f t="array" ref="I139">MAX(IF(Sheet3!$A$1:$A$500=CONCATENATE("s.rule",A139,".tar.gz"), Sheet3!$B$1:$B$500))</f>
        <v>1473.8</v>
      </c>
      <c r="J139" s="3">
        <f>IFERROR(AVERAGEIF(Sheet3!$A$1:$A$500,CONCATENATE("s.rule",A139,".tar.gz"),Sheet3!$B$1:$B$500),"")</f>
        <v>1473.8</v>
      </c>
      <c r="K139" s="19">
        <f>COUNTIF(Sheet3!$A$1:$A$500,CONCATENATE("s.rule",A139,".tar.gz"))</f>
        <v>1</v>
      </c>
      <c r="L139" s="13">
        <f t="shared" si="41"/>
        <v>0</v>
      </c>
    </row>
    <row r="140" spans="1:12" s="2" customFormat="1" x14ac:dyDescent="0.3">
      <c r="A140" s="8" t="s">
        <v>107</v>
      </c>
      <c r="B140" s="2">
        <v>28</v>
      </c>
      <c r="C140" s="2">
        <v>22</v>
      </c>
      <c r="D140" s="2">
        <v>33</v>
      </c>
      <c r="E140" s="22">
        <v>57</v>
      </c>
      <c r="F140" s="2">
        <f t="shared" si="39"/>
        <v>140</v>
      </c>
      <c r="G140" s="7">
        <f t="shared" si="40"/>
        <v>0.82499999999999996</v>
      </c>
      <c r="H140" s="3">
        <v>1513.2</v>
      </c>
      <c r="I140" s="3">
        <f t="array" ref="I140">MAX(IF(Sheet3!$A$1:$A$500=CONCATENATE("s.rule",A140,".tar.gz"), Sheet3!$B$1:$B$500))</f>
        <v>1513.2</v>
      </c>
      <c r="J140" s="3">
        <f>IFERROR(AVERAGEIF(Sheet3!$A$1:$A$500,CONCATENATE("s.rule",A140,".tar.gz"),Sheet3!$B$1:$B$500),"")</f>
        <v>1513.2</v>
      </c>
      <c r="K140" s="19">
        <f>COUNTIF(Sheet3!$A$1:$A$500,CONCATENATE("s.rule",A140,".tar.gz"))</f>
        <v>1</v>
      </c>
      <c r="L140" s="13">
        <f t="shared" si="41"/>
        <v>0</v>
      </c>
    </row>
    <row r="141" spans="1:12" x14ac:dyDescent="0.3">
      <c r="A141" s="4">
        <f>A138+1</f>
        <v>512</v>
      </c>
      <c r="B141">
        <v>38</v>
      </c>
      <c r="C141" s="2">
        <v>38</v>
      </c>
      <c r="D141" s="2">
        <v>39</v>
      </c>
      <c r="E141" s="22">
        <v>86</v>
      </c>
      <c r="F141" s="2">
        <f t="shared" si="39"/>
        <v>201</v>
      </c>
      <c r="G141" s="7">
        <f t="shared" si="40"/>
        <v>0.74875000000000003</v>
      </c>
      <c r="H141" s="3">
        <v>1426</v>
      </c>
      <c r="I141" s="3">
        <f t="array" ref="I141">MAX(IF(Sheet3!$A$1:$A$500=CONCATENATE("s.rule",A141,".tar.gz"), Sheet3!$B$1:$B$500))</f>
        <v>1426</v>
      </c>
      <c r="J141" s="3">
        <f>IFERROR(AVERAGEIF(Sheet3!$A$1:$A$500,CONCATENATE("s.rule",A141,".tar.gz"),Sheet3!$B$1:$B$500),"")</f>
        <v>1426</v>
      </c>
      <c r="K141" s="19">
        <f>COUNTIF(Sheet3!$A$1:$A$500,CONCATENATE("s.rule",A141,".tar.gz"))</f>
        <v>1</v>
      </c>
      <c r="L141" s="13">
        <f t="shared" si="41"/>
        <v>0</v>
      </c>
    </row>
    <row r="142" spans="1:12" x14ac:dyDescent="0.3">
      <c r="A142" s="4">
        <f t="shared" ref="A142" si="42">A141+1</f>
        <v>513</v>
      </c>
      <c r="B142">
        <v>38</v>
      </c>
      <c r="C142" s="2">
        <v>38</v>
      </c>
      <c r="D142" s="2">
        <v>40</v>
      </c>
      <c r="E142" s="22">
        <v>86</v>
      </c>
      <c r="F142" s="2">
        <f t="shared" si="39"/>
        <v>202</v>
      </c>
      <c r="G142" s="7">
        <f t="shared" si="40"/>
        <v>0.74750000000000005</v>
      </c>
      <c r="H142" s="3">
        <v>1441.2</v>
      </c>
      <c r="I142" s="3">
        <f t="array" ref="I142">MAX(IF(Sheet3!$A$1:$A$500=CONCATENATE("s.rule",A142,".tar.gz"), Sheet3!$B$1:$B$500))</f>
        <v>1441.2</v>
      </c>
      <c r="J142" s="3">
        <f>IFERROR(AVERAGEIF(Sheet3!$A$1:$A$500,CONCATENATE("s.rule",A142,".tar.gz"),Sheet3!$B$1:$B$500),"")</f>
        <v>1441.2</v>
      </c>
      <c r="K142" s="19">
        <f>COUNTIF(Sheet3!$A$1:$A$500,CONCATENATE("s.rule",A142,".tar.gz"))</f>
        <v>1</v>
      </c>
      <c r="L142" s="13">
        <f t="shared" si="41"/>
        <v>0</v>
      </c>
    </row>
    <row r="143" spans="1:12" s="2" customFormat="1" x14ac:dyDescent="0.3">
      <c r="A143" s="4">
        <v>514</v>
      </c>
      <c r="B143" s="2">
        <v>36</v>
      </c>
      <c r="C143" s="2">
        <v>36</v>
      </c>
      <c r="D143" s="2">
        <v>31</v>
      </c>
      <c r="E143" s="22">
        <v>85</v>
      </c>
      <c r="F143" s="2">
        <f t="shared" si="39"/>
        <v>188</v>
      </c>
      <c r="G143" s="7">
        <f t="shared" si="40"/>
        <v>0.76500000000000001</v>
      </c>
      <c r="H143" s="3">
        <v>1419.7</v>
      </c>
      <c r="I143" s="3">
        <f t="array" ref="I143">MAX(IF(Sheet3!$A$1:$A$500=CONCATENATE("s.rule",A143,".tar.gz"), Sheet3!$B$1:$B$500))</f>
        <v>1419.7</v>
      </c>
      <c r="J143" s="3">
        <f>IFERROR(AVERAGEIF(Sheet3!$A$1:$A$500,CONCATENATE("s.rule",A143,".tar.gz"),Sheet3!$B$1:$B$500),"")</f>
        <v>1419.7</v>
      </c>
      <c r="K143" s="19">
        <f>COUNTIF(Sheet3!$A$1:$A$500,CONCATENATE("s.rule",A143,".tar.gz"))</f>
        <v>1</v>
      </c>
      <c r="L143" s="13">
        <f t="shared" si="41"/>
        <v>0</v>
      </c>
    </row>
    <row r="144" spans="1:12" x14ac:dyDescent="0.3">
      <c r="A144" s="4" t="s">
        <v>83</v>
      </c>
      <c r="B144">
        <v>37</v>
      </c>
      <c r="C144" s="2">
        <v>33</v>
      </c>
      <c r="D144" s="2">
        <v>27</v>
      </c>
      <c r="E144" s="22">
        <v>83</v>
      </c>
      <c r="F144" s="2">
        <f t="shared" si="39"/>
        <v>180</v>
      </c>
      <c r="G144" s="7">
        <f t="shared" si="40"/>
        <v>0.77500000000000002</v>
      </c>
      <c r="H144" s="3">
        <v>1394.7</v>
      </c>
      <c r="I144" s="3">
        <f t="array" ref="I144">MAX(IF(Sheet3!$A$1:$A$500=CONCATENATE("s.rule",A144,".tar.gz"), Sheet3!$B$1:$B$500))</f>
        <v>1394.7</v>
      </c>
      <c r="J144" s="3">
        <f>IFERROR(AVERAGEIF(Sheet3!$A$1:$A$500,CONCATENATE("s.rule",A144,".tar.gz"),Sheet3!$B$1:$B$500),"")</f>
        <v>1394.7</v>
      </c>
      <c r="K144" s="19">
        <f>COUNTIF(Sheet3!$A$1:$A$500,CONCATENATE("s.rule",A144,".tar.gz"))</f>
        <v>1</v>
      </c>
      <c r="L144" s="13">
        <f t="shared" si="41"/>
        <v>0</v>
      </c>
    </row>
    <row r="145" spans="1:17" s="2" customFormat="1" x14ac:dyDescent="0.3">
      <c r="A145" s="8">
        <v>516</v>
      </c>
      <c r="B145" s="2">
        <v>26</v>
      </c>
      <c r="C145" s="2">
        <v>21</v>
      </c>
      <c r="D145" s="2">
        <v>29</v>
      </c>
      <c r="E145" s="22">
        <v>53</v>
      </c>
      <c r="F145" s="2">
        <f t="shared" si="39"/>
        <v>129</v>
      </c>
      <c r="G145" s="7">
        <f t="shared" si="40"/>
        <v>0.83875</v>
      </c>
      <c r="H145" s="3"/>
      <c r="I145" s="3"/>
      <c r="J145" s="3" t="str">
        <f>IFERROR(AVERAGEIF(Sheet1!$A$1:$A$100,CONCATENATE("s.rule",A145,".tar.gz"),Sheet1!$E$1:$E$100),"")</f>
        <v/>
      </c>
      <c r="K145" s="19">
        <f>COUNTIF(Sheet3!$A$1:$A$100,CONCATENATE("s.rule",A145,".tar.gz"))</f>
        <v>0</v>
      </c>
      <c r="L145" s="13"/>
    </row>
    <row r="146" spans="1:17" x14ac:dyDescent="0.3">
      <c r="A146" s="8">
        <v>517</v>
      </c>
      <c r="B146">
        <v>27</v>
      </c>
      <c r="C146" s="2">
        <v>20</v>
      </c>
      <c r="D146" s="2">
        <v>35</v>
      </c>
      <c r="E146" s="22">
        <v>55</v>
      </c>
      <c r="F146" s="2">
        <f t="shared" si="39"/>
        <v>137</v>
      </c>
      <c r="G146" s="7">
        <f t="shared" si="40"/>
        <v>0.82874999999999999</v>
      </c>
      <c r="H146" s="3">
        <v>1475.4</v>
      </c>
      <c r="I146" s="3">
        <f t="array" ref="I146">MAX(IF(Sheet3!$A$1:$A$500=CONCATENATE("s.rule",A146,".tar.gz"), Sheet3!$B$1:$B$500))</f>
        <v>1475.4</v>
      </c>
      <c r="J146" s="3">
        <f>IFERROR(AVERAGEIF(Sheet3!$A$1:$A$500,CONCATENATE("s.rule",A146,".tar.gz"),Sheet3!$B$1:$B$500),"")</f>
        <v>1475.4</v>
      </c>
      <c r="K146" s="19">
        <f>COUNTIF(Sheet3!$A$1:$A$100,CONCATENATE("s.rule",A146,".tar.gz"))</f>
        <v>1</v>
      </c>
      <c r="L146" s="13">
        <f t="shared" ref="L146:L178" si="43">IF(I146&lt;&gt;"",I146-H146,"")</f>
        <v>0</v>
      </c>
      <c r="M146" s="2"/>
      <c r="O146" t="s">
        <v>118</v>
      </c>
      <c r="P146" t="s">
        <v>119</v>
      </c>
      <c r="Q146" t="s">
        <v>120</v>
      </c>
    </row>
    <row r="147" spans="1:17" s="2" customFormat="1" x14ac:dyDescent="0.3">
      <c r="A147" s="8">
        <v>518</v>
      </c>
      <c r="B147" s="2">
        <v>25</v>
      </c>
      <c r="C147" s="2">
        <v>24</v>
      </c>
      <c r="D147" s="2">
        <v>24</v>
      </c>
      <c r="E147" s="22">
        <v>64</v>
      </c>
      <c r="F147" s="2">
        <f t="shared" si="39"/>
        <v>137</v>
      </c>
      <c r="G147" s="7">
        <f t="shared" si="40"/>
        <v>0.82874999999999999</v>
      </c>
      <c r="H147" s="3">
        <v>1516.5</v>
      </c>
      <c r="I147" s="3">
        <f t="array" ref="I147">MAX(IF(Sheet3!$A$1:$A$500=CONCATENATE("s.rule",A147,".tar.gz"), Sheet3!$B$1:$B$500))</f>
        <v>1516.5</v>
      </c>
      <c r="J147" s="3">
        <f>IFERROR(AVERAGEIF(Sheet3!$A$1:$A$500,CONCATENATE("s.rule",A147,".tar.gz"),Sheet3!$B$1:$B$500),"")</f>
        <v>1500.05</v>
      </c>
      <c r="K147" s="19">
        <f>COUNTIF(Sheet3!$A$1:$A$100,CONCATENATE("s.rule",A147,".tar.gz"))</f>
        <v>2</v>
      </c>
      <c r="L147" s="13">
        <f t="shared" si="43"/>
        <v>0</v>
      </c>
    </row>
    <row r="148" spans="1:17" s="2" customFormat="1" x14ac:dyDescent="0.3">
      <c r="A148" s="8">
        <v>519</v>
      </c>
      <c r="B148" s="10">
        <v>24</v>
      </c>
      <c r="C148" s="10">
        <v>18</v>
      </c>
      <c r="D148" s="10">
        <v>24</v>
      </c>
      <c r="E148" s="21">
        <v>53</v>
      </c>
      <c r="F148" s="2">
        <f t="shared" si="39"/>
        <v>119</v>
      </c>
      <c r="G148" s="7">
        <f t="shared" si="40"/>
        <v>0.85125000000000006</v>
      </c>
      <c r="H148" s="3">
        <v>1547.6</v>
      </c>
      <c r="I148" s="3">
        <f t="array" ref="I148">MAX(IF(Sheet3!$A$1:$A$500=CONCATENATE("s.rule",A148,".tar.gz"), Sheet3!$B$1:$B$500))</f>
        <v>1547.6</v>
      </c>
      <c r="J148" s="3">
        <f>IFERROR(AVERAGEIF(Sheet3!$A$1:$A$500,CONCATENATE("s.rule",A148,".tar.gz"),Sheet3!$B$1:$B$500),"")</f>
        <v>1547.6</v>
      </c>
      <c r="K148" s="19">
        <f>COUNTIF(Sheet3!$A$1:$A$100,CONCATENATE("s.rule",A148,".tar.gz"))</f>
        <v>1</v>
      </c>
      <c r="L148" s="13">
        <f t="shared" si="43"/>
        <v>0</v>
      </c>
    </row>
    <row r="149" spans="1:17" s="2" customFormat="1" x14ac:dyDescent="0.3">
      <c r="A149" s="8" t="s">
        <v>103</v>
      </c>
      <c r="B149" s="10">
        <v>21</v>
      </c>
      <c r="C149" s="10">
        <v>20</v>
      </c>
      <c r="D149" s="10">
        <v>25</v>
      </c>
      <c r="E149" s="21">
        <v>51</v>
      </c>
      <c r="F149" s="2">
        <f t="shared" si="39"/>
        <v>117</v>
      </c>
      <c r="G149" s="7">
        <f t="shared" si="40"/>
        <v>0.85375000000000001</v>
      </c>
      <c r="H149" s="3">
        <v>1499.2</v>
      </c>
      <c r="I149" s="3">
        <f t="array" ref="I149">MAX(IF(Sheet3!$A$1:$A$500=CONCATENATE("s.rule",A149,".tar.gz"), Sheet3!$B$1:$B$500))</f>
        <v>1499.2</v>
      </c>
      <c r="J149" s="3">
        <f>IFERROR(AVERAGEIF(Sheet3!$A$1:$A$500,CONCATENATE("s.rule",A149,".tar.gz"),Sheet3!$B$1:$B$500),"")</f>
        <v>1490.1</v>
      </c>
      <c r="K149" s="19">
        <f>COUNTIF(Sheet3!$A$1:$A$100,CONCATENATE("s.rule",A149,".tar.gz"))</f>
        <v>2</v>
      </c>
      <c r="L149" s="13">
        <f t="shared" si="43"/>
        <v>0</v>
      </c>
    </row>
    <row r="150" spans="1:17" s="2" customFormat="1" x14ac:dyDescent="0.3">
      <c r="A150" s="8">
        <v>520</v>
      </c>
      <c r="B150" s="10">
        <v>21</v>
      </c>
      <c r="C150" s="10">
        <v>21</v>
      </c>
      <c r="D150" s="10">
        <v>27</v>
      </c>
      <c r="E150" s="21">
        <v>47</v>
      </c>
      <c r="F150" s="2">
        <f t="shared" si="39"/>
        <v>116</v>
      </c>
      <c r="G150" s="7">
        <f t="shared" si="40"/>
        <v>0.85499999999999998</v>
      </c>
      <c r="H150" s="3">
        <v>1523.9</v>
      </c>
      <c r="I150" s="3">
        <f t="array" ref="I150">MAX(IF(Sheet3!$A$1:$A$500=CONCATENATE("s.rule",A150,".tar.gz"), Sheet3!$B$1:$B$500))</f>
        <v>1523.9</v>
      </c>
      <c r="J150" s="3">
        <f>IFERROR(AVERAGEIF(Sheet3!$A$1:$A$500,CONCATENATE("s.rule",A150,".tar.gz"),Sheet3!$B$1:$B$500),"")</f>
        <v>1497.6666666666667</v>
      </c>
      <c r="K150" s="19">
        <f>COUNTIF(Sheet3!$A$1:$A$100,CONCATENATE("s.rule",A150,".tar.gz"))</f>
        <v>3</v>
      </c>
      <c r="L150" s="13">
        <f t="shared" si="43"/>
        <v>0</v>
      </c>
    </row>
    <row r="151" spans="1:17" s="2" customFormat="1" x14ac:dyDescent="0.3">
      <c r="A151" s="8" t="s">
        <v>110</v>
      </c>
      <c r="B151" s="10">
        <v>22</v>
      </c>
      <c r="C151" s="10">
        <v>23</v>
      </c>
      <c r="D151" s="10">
        <v>25</v>
      </c>
      <c r="E151" s="21">
        <v>50</v>
      </c>
      <c r="F151" s="2">
        <f t="shared" si="39"/>
        <v>120</v>
      </c>
      <c r="G151" s="7">
        <f t="shared" si="40"/>
        <v>0.85</v>
      </c>
      <c r="H151" s="3">
        <v>1552.2</v>
      </c>
      <c r="I151" s="3">
        <f t="array" ref="I151">MAX(IF(Sheet3!$A$1:$A$500=CONCATENATE("s.rule",A151,".tar.gz"), Sheet3!$B$1:$B$500))</f>
        <v>1552.2</v>
      </c>
      <c r="J151" s="3">
        <f>IFERROR(AVERAGEIF(Sheet3!$A$1:$A$500,CONCATENATE("s.rule",A151,".tar.gz"),Sheet3!$B$1:$B$500),"")</f>
        <v>1544.0500000000002</v>
      </c>
      <c r="K151" s="19">
        <f>COUNTIF(Sheet3!$A$1:$A$100,CONCATENATE("s.rule",A151,".tar.gz"))</f>
        <v>2</v>
      </c>
      <c r="L151" s="13">
        <f t="shared" ref="L151" si="44">IF(I151&lt;&gt;"",I151-H151,"")</f>
        <v>0</v>
      </c>
    </row>
    <row r="152" spans="1:17" s="2" customFormat="1" x14ac:dyDescent="0.3">
      <c r="A152" s="12" t="s">
        <v>135</v>
      </c>
      <c r="B152" s="10">
        <v>14</v>
      </c>
      <c r="C152" s="10">
        <v>27</v>
      </c>
      <c r="D152" s="10">
        <v>26</v>
      </c>
      <c r="E152" s="21">
        <v>47</v>
      </c>
      <c r="F152" s="2">
        <f t="shared" si="39"/>
        <v>114</v>
      </c>
      <c r="G152" s="7">
        <f t="shared" si="40"/>
        <v>0.85750000000000004</v>
      </c>
      <c r="H152" s="3">
        <v>1530.2</v>
      </c>
      <c r="I152" s="3">
        <f t="array" ref="I152">MAX(IF(Sheet3!$A$1:$A$500=CONCATENATE("s.rule",A152,".tar.gz"), Sheet3!$B$1:$B$500))</f>
        <v>1530.2</v>
      </c>
      <c r="J152" s="3">
        <f>IFERROR(AVERAGEIF(Sheet3!$A$1:$A$500,CONCATENATE("s.rule",A152,".tar.gz"),Sheet3!$B$1:$B$500),"")</f>
        <v>1530.2</v>
      </c>
      <c r="K152" s="19">
        <f>COUNTIF(Sheet3!$A$1:$A$100,CONCATENATE("s.rule",A152,".tar.gz"))</f>
        <v>1</v>
      </c>
      <c r="L152" s="13">
        <f t="shared" si="43"/>
        <v>0</v>
      </c>
    </row>
    <row r="153" spans="1:17" s="2" customFormat="1" x14ac:dyDescent="0.3">
      <c r="A153" s="8">
        <v>521</v>
      </c>
      <c r="B153" s="10">
        <v>26</v>
      </c>
      <c r="C153" s="10">
        <v>19</v>
      </c>
      <c r="D153" s="10">
        <v>24</v>
      </c>
      <c r="E153" s="21">
        <v>46</v>
      </c>
      <c r="F153" s="2">
        <f t="shared" si="39"/>
        <v>115</v>
      </c>
      <c r="G153" s="7">
        <f t="shared" si="40"/>
        <v>0.85624999999999996</v>
      </c>
      <c r="H153" s="3">
        <v>1535.7</v>
      </c>
      <c r="I153" s="3">
        <f t="array" ref="I153">MAX(IF(Sheet3!$A$1:$A$500=CONCATENATE("s.rule",A153,".tar.gz"), Sheet3!$B$1:$B$500))</f>
        <v>1535.7</v>
      </c>
      <c r="J153" s="3">
        <f>IFERROR(AVERAGEIF(Sheet3!$A$1:$A$500,CONCATENATE("s.rule",A153,".tar.gz"),Sheet3!$B$1:$B$500),"")</f>
        <v>1527.4</v>
      </c>
      <c r="K153" s="19">
        <f>COUNTIF(Sheet3!$A$1:$A$100,CONCATENATE("s.rule",A153,".tar.gz"))</f>
        <v>2</v>
      </c>
      <c r="L153" s="13">
        <f t="shared" si="43"/>
        <v>0</v>
      </c>
    </row>
    <row r="154" spans="1:17" s="2" customFormat="1" x14ac:dyDescent="0.3">
      <c r="A154" s="8" t="s">
        <v>104</v>
      </c>
      <c r="B154" s="10">
        <v>25</v>
      </c>
      <c r="C154" s="10">
        <v>20</v>
      </c>
      <c r="D154" s="10">
        <v>22</v>
      </c>
      <c r="E154" s="21">
        <v>46</v>
      </c>
      <c r="F154" s="2">
        <f t="shared" si="39"/>
        <v>113</v>
      </c>
      <c r="G154" s="7">
        <f t="shared" si="40"/>
        <v>0.85875000000000001</v>
      </c>
      <c r="H154" s="3">
        <v>1530</v>
      </c>
      <c r="I154" s="3">
        <f t="array" ref="I154">MAX(IF(Sheet3!$A$1:$A$500=CONCATENATE("s.rule",A154,".tar.gz"), Sheet3!$B$1:$B$500))</f>
        <v>1530</v>
      </c>
      <c r="J154" s="3">
        <f>IFERROR(AVERAGEIF(Sheet3!$A$1:$A$500,CONCATENATE("s.rule",A154,".tar.gz"),Sheet3!$B$1:$B$500),"")</f>
        <v>1519.7666666666667</v>
      </c>
      <c r="K154" s="19">
        <f>COUNTIF(Sheet3!$A$1:$A$100,CONCATENATE("s.rule",A154,".tar.gz"))</f>
        <v>3</v>
      </c>
      <c r="L154" s="13">
        <f t="shared" si="43"/>
        <v>0</v>
      </c>
    </row>
    <row r="155" spans="1:17" s="2" customFormat="1" x14ac:dyDescent="0.3">
      <c r="A155" s="12" t="s">
        <v>129</v>
      </c>
      <c r="B155" s="10">
        <v>15</v>
      </c>
      <c r="C155" s="10">
        <v>22</v>
      </c>
      <c r="D155" s="10">
        <v>20</v>
      </c>
      <c r="E155" s="21">
        <v>45</v>
      </c>
      <c r="F155" s="2">
        <f t="shared" si="39"/>
        <v>102</v>
      </c>
      <c r="G155" s="7">
        <f t="shared" si="40"/>
        <v>0.87250000000000005</v>
      </c>
      <c r="H155" s="3">
        <v>1546</v>
      </c>
      <c r="I155" s="3">
        <f t="array" ref="I155">MAX(IF(Sheet3!$A$1:$A$500=CONCATENATE("s.rule",A155,".tar.gz"), Sheet3!$B$1:$B$500))</f>
        <v>1546</v>
      </c>
      <c r="J155" s="3">
        <f>IFERROR(AVERAGEIF(Sheet3!$A$1:$A$500,CONCATENATE("s.rule",A155,".tar.gz"),Sheet3!$B$1:$B$500),"")</f>
        <v>1546</v>
      </c>
      <c r="K155" s="19">
        <f>COUNTIF(Sheet3!$A$1:$A$100,CONCATENATE("s.rule",A155,".tar.gz"))</f>
        <v>1</v>
      </c>
      <c r="L155" s="13">
        <f t="shared" ref="L155" si="45">IF(I155&lt;&gt;"",I155-H155,"")</f>
        <v>0</v>
      </c>
    </row>
    <row r="156" spans="1:17" s="2" customFormat="1" x14ac:dyDescent="0.3">
      <c r="A156" s="11" t="s">
        <v>130</v>
      </c>
      <c r="B156" s="10">
        <v>17</v>
      </c>
      <c r="C156" s="10">
        <v>29</v>
      </c>
      <c r="D156" s="10">
        <v>26</v>
      </c>
      <c r="E156" s="21">
        <v>45</v>
      </c>
      <c r="F156" s="2">
        <f t="shared" si="39"/>
        <v>117</v>
      </c>
      <c r="G156" s="7">
        <f t="shared" si="40"/>
        <v>0.85375000000000001</v>
      </c>
      <c r="H156" s="3">
        <v>1480.1</v>
      </c>
      <c r="I156" s="3">
        <f t="array" ref="I156">MAX(IF(Sheet3!$A$1:$A$500=CONCATENATE("s.rule",A156,".tar.gz"), Sheet3!$B$1:$B$500))</f>
        <v>1480.1</v>
      </c>
      <c r="J156" s="3">
        <f>IFERROR(AVERAGEIF(Sheet3!$A$1:$A$500,CONCATENATE("s.rule",A156,".tar.gz"),Sheet3!$B$1:$B$500),"")</f>
        <v>1480.1</v>
      </c>
      <c r="K156" s="19">
        <f>COUNTIF(Sheet3!$A$1:$A$100,CONCATENATE("s.rule",A156,".tar.gz"))</f>
        <v>1</v>
      </c>
      <c r="L156" s="13">
        <f t="shared" si="43"/>
        <v>0</v>
      </c>
    </row>
    <row r="157" spans="1:17" s="2" customFormat="1" x14ac:dyDescent="0.3">
      <c r="A157" s="8">
        <v>522</v>
      </c>
      <c r="B157" s="10">
        <v>25</v>
      </c>
      <c r="C157" s="10">
        <v>20</v>
      </c>
      <c r="D157" s="10">
        <v>23</v>
      </c>
      <c r="E157" s="21">
        <v>46</v>
      </c>
      <c r="F157" s="2">
        <f t="shared" si="39"/>
        <v>114</v>
      </c>
      <c r="G157" s="7">
        <f t="shared" si="40"/>
        <v>0.85750000000000004</v>
      </c>
      <c r="H157" s="3">
        <v>1522.2</v>
      </c>
      <c r="I157" s="3">
        <f t="array" ref="I157">MAX(IF(Sheet3!$A$1:$A$500=CONCATENATE("s.rule",A157,".tar.gz"), Sheet3!$B$1:$B$500))</f>
        <v>1522.2</v>
      </c>
      <c r="J157" s="3">
        <f>IFERROR(AVERAGEIF(Sheet3!$A$1:$A$500,CONCATENATE("s.rule",A157,".tar.gz"),Sheet3!$B$1:$B$500),"")</f>
        <v>1506.5</v>
      </c>
      <c r="K157" s="19">
        <f>COUNTIF(Sheet3!$A$1:$A$100,CONCATENATE("s.rule",A157,".tar.gz"))</f>
        <v>2</v>
      </c>
      <c r="L157" s="13">
        <f t="shared" si="43"/>
        <v>0</v>
      </c>
    </row>
    <row r="158" spans="1:17" s="2" customFormat="1" x14ac:dyDescent="0.3">
      <c r="A158" s="8">
        <v>523</v>
      </c>
      <c r="B158" s="10">
        <v>24</v>
      </c>
      <c r="C158" s="10">
        <v>20</v>
      </c>
      <c r="D158" s="10">
        <v>23</v>
      </c>
      <c r="E158" s="21">
        <v>45</v>
      </c>
      <c r="F158" s="2">
        <f t="shared" si="39"/>
        <v>112</v>
      </c>
      <c r="G158" s="7">
        <f t="shared" si="40"/>
        <v>0.86</v>
      </c>
      <c r="H158" s="3">
        <v>1578.2</v>
      </c>
      <c r="I158" s="3">
        <f t="array" ref="I158">MAX(IF(Sheet3!$A$1:$A$500=CONCATENATE("s.rule",A158,".tar.gz"), Sheet3!$B$1:$B$500))</f>
        <v>1578.2</v>
      </c>
      <c r="J158" s="3">
        <f>IFERROR(AVERAGEIF(Sheet3!$A$1:$A$500,CONCATENATE("s.rule",A158,".tar.gz"),Sheet3!$B$1:$B$500),"")</f>
        <v>1533.24</v>
      </c>
      <c r="K158" s="19">
        <f>COUNTIF(Sheet3!$A$1:$A$100,CONCATENATE("s.rule",A158,".tar.gz"))</f>
        <v>5</v>
      </c>
      <c r="L158" s="13">
        <f t="shared" si="43"/>
        <v>0</v>
      </c>
    </row>
    <row r="159" spans="1:17" s="2" customFormat="1" x14ac:dyDescent="0.3">
      <c r="A159" s="8" t="s">
        <v>388</v>
      </c>
      <c r="B159" s="10">
        <v>22</v>
      </c>
      <c r="C159" s="10">
        <v>20</v>
      </c>
      <c r="D159" s="10">
        <v>20</v>
      </c>
      <c r="E159" s="21">
        <v>48</v>
      </c>
      <c r="F159" s="2">
        <f t="shared" ref="F159:F224" si="46">SUM(B159:E159)</f>
        <v>110</v>
      </c>
      <c r="G159" s="7">
        <f t="shared" si="40"/>
        <v>0.86250000000000004</v>
      </c>
      <c r="H159" s="3">
        <v>1491.9</v>
      </c>
      <c r="I159" s="3">
        <f t="array" ref="I159">MAX(IF(Sheet1!$A$1:$A$100=CONCATENATE("s.rule",A159,".tar.gz"), Sheet1!$E$1:$E$100))</f>
        <v>1508.5</v>
      </c>
      <c r="J159" s="3">
        <f>IFERROR(AVERAGEIF(Sheet1!$A$1:$A$100,CONCATENATE("s.rule",A159,".tar.gz"),Sheet1!$E$1:$E$100),"")</f>
        <v>1481.5</v>
      </c>
      <c r="K159" s="3">
        <f>COUNTIF(Sheet1!$A$1:$A$100,CONCATENATE("s.rule",A159,".tar.gz"))</f>
        <v>2</v>
      </c>
      <c r="L159" s="13">
        <f t="shared" si="43"/>
        <v>16.599999999999909</v>
      </c>
    </row>
    <row r="160" spans="1:17" s="2" customFormat="1" x14ac:dyDescent="0.3">
      <c r="A160" s="8">
        <v>524</v>
      </c>
      <c r="B160" s="10">
        <v>18</v>
      </c>
      <c r="C160" s="10">
        <v>17</v>
      </c>
      <c r="D160" s="10">
        <v>21</v>
      </c>
      <c r="E160" s="21">
        <v>48</v>
      </c>
      <c r="F160" s="2">
        <f t="shared" si="46"/>
        <v>104</v>
      </c>
      <c r="G160" s="7">
        <f t="shared" si="40"/>
        <v>0.87</v>
      </c>
      <c r="H160" s="3">
        <v>1559.1</v>
      </c>
      <c r="I160" s="3">
        <f t="array" ref="I160">MAX(IF(Sheet3!$A$1:$A$500=CONCATENATE("s.rule",A160,".tar.gz"), Sheet3!$B$1:$B$500))</f>
        <v>1559.1</v>
      </c>
      <c r="J160" s="3">
        <f>IFERROR(AVERAGEIF(Sheet3!$A$1:$A$500,CONCATENATE("s.rule",A160,".tar.gz"),Sheet3!$B$1:$B$500),"")</f>
        <v>1538.9</v>
      </c>
      <c r="K160" s="19">
        <f>COUNTIF(Sheet3!$A$1:$A$100,CONCATENATE("s.rule",A160,".tar.gz"))</f>
        <v>2</v>
      </c>
      <c r="L160" s="13">
        <f t="shared" ref="L160:L161" si="47">IF(I160&lt;&gt;"",I160-H160,"")</f>
        <v>0</v>
      </c>
    </row>
    <row r="161" spans="1:12" s="2" customFormat="1" x14ac:dyDescent="0.3">
      <c r="A161" s="12">
        <v>624</v>
      </c>
      <c r="B161" s="10">
        <v>13</v>
      </c>
      <c r="C161" s="10">
        <v>21</v>
      </c>
      <c r="D161" s="10">
        <v>23</v>
      </c>
      <c r="E161" s="21">
        <v>47</v>
      </c>
      <c r="F161" s="2">
        <f t="shared" si="46"/>
        <v>104</v>
      </c>
      <c r="G161" s="7">
        <f t="shared" si="40"/>
        <v>0.87</v>
      </c>
      <c r="H161" s="3">
        <v>1511.8</v>
      </c>
      <c r="I161" s="3">
        <f t="array" ref="I161">MAX(IF(Sheet3!$A$1:$A$500=CONCATENATE("s.rule",A161,".tar.gz"), Sheet3!$B$1:$B$500))</f>
        <v>1511.8</v>
      </c>
      <c r="J161" s="3">
        <f>IFERROR(AVERAGEIF(Sheet3!$A$1:$A$500,CONCATENATE("s.rule",A161,".tar.gz"),Sheet3!$B$1:$B$500),"")</f>
        <v>1502.6</v>
      </c>
      <c r="K161" s="19">
        <f>COUNTIF(Sheet3!$A$1:$A$100,CONCATENATE("s.rule",A161,".tar.gz"))</f>
        <v>2</v>
      </c>
      <c r="L161" s="13">
        <f t="shared" si="47"/>
        <v>0</v>
      </c>
    </row>
    <row r="162" spans="1:12" s="2" customFormat="1" x14ac:dyDescent="0.3">
      <c r="A162" s="12" t="s">
        <v>134</v>
      </c>
      <c r="B162" s="10">
        <v>14</v>
      </c>
      <c r="C162" s="10">
        <v>25</v>
      </c>
      <c r="D162" s="10">
        <v>23</v>
      </c>
      <c r="E162" s="21">
        <v>46</v>
      </c>
      <c r="F162" s="2">
        <f t="shared" si="46"/>
        <v>108</v>
      </c>
      <c r="G162" s="7">
        <f t="shared" si="40"/>
        <v>0.86499999999999999</v>
      </c>
      <c r="H162" s="3">
        <v>1489.9</v>
      </c>
      <c r="I162" s="3">
        <f t="array" ref="I162">MAX(IF(Sheet3!$A$1:$A$500=CONCATENATE("s.rule",A162,".tar.gz"), Sheet3!$B$1:$B$500))</f>
        <v>1489.9</v>
      </c>
      <c r="J162" s="3">
        <f>IFERROR(AVERAGEIF(Sheet3!$A$1:$A$500,CONCATENATE("s.rule",A162,".tar.gz"),Sheet3!$B$1:$B$500),"")</f>
        <v>1489.9</v>
      </c>
      <c r="K162" s="19">
        <f>COUNTIF(Sheet3!$A$1:$A$100,CONCATENATE("s.rule",A162,".tar.gz"))</f>
        <v>1</v>
      </c>
      <c r="L162" s="13">
        <f t="shared" si="43"/>
        <v>0</v>
      </c>
    </row>
    <row r="163" spans="1:12" s="2" customFormat="1" x14ac:dyDescent="0.3">
      <c r="A163" s="8" t="s">
        <v>124</v>
      </c>
      <c r="B163" s="10">
        <v>17</v>
      </c>
      <c r="C163" s="10">
        <v>15</v>
      </c>
      <c r="D163" s="10">
        <v>26</v>
      </c>
      <c r="E163" s="21">
        <v>46</v>
      </c>
      <c r="F163" s="2">
        <f t="shared" si="46"/>
        <v>104</v>
      </c>
      <c r="G163" s="7">
        <f t="shared" si="40"/>
        <v>0.87</v>
      </c>
      <c r="H163" s="3">
        <v>1496.4</v>
      </c>
      <c r="I163" s="3">
        <f t="array" ref="I163">MAX(IF(Sheet3!$A$1:$A$500=CONCATENATE("s.rule",A163,".tar.gz"), Sheet3!$B$1:$B$500))</f>
        <v>1496.4</v>
      </c>
      <c r="J163" s="3">
        <f>IFERROR(AVERAGEIF(Sheet3!$A$1:$A$500,CONCATENATE("s.rule",A163,".tar.gz"),Sheet3!$B$1:$B$500),"")</f>
        <v>1496.4</v>
      </c>
      <c r="K163" s="19">
        <f>COUNTIF(Sheet3!$A$1:$A$100,CONCATENATE("s.rule",A163,".tar.gz"))</f>
        <v>1</v>
      </c>
      <c r="L163" s="13">
        <f t="shared" si="43"/>
        <v>0</v>
      </c>
    </row>
    <row r="164" spans="1:12" s="2" customFormat="1" x14ac:dyDescent="0.3">
      <c r="A164" s="8" t="s">
        <v>125</v>
      </c>
      <c r="B164" s="10">
        <v>24</v>
      </c>
      <c r="C164" s="10">
        <v>16</v>
      </c>
      <c r="D164" s="10">
        <v>27</v>
      </c>
      <c r="E164" s="21">
        <v>46</v>
      </c>
      <c r="F164" s="2">
        <f t="shared" si="46"/>
        <v>113</v>
      </c>
      <c r="G164" s="7">
        <f t="shared" si="40"/>
        <v>0.85875000000000001</v>
      </c>
      <c r="H164" s="3">
        <v>1474.8</v>
      </c>
      <c r="I164" s="3">
        <f t="array" ref="I164">MAX(IF(Sheet3!$A$1:$A$500=CONCATENATE("s.rule",A164,".tar.gz"), Sheet3!$B$1:$B$500))</f>
        <v>1474.8</v>
      </c>
      <c r="J164" s="3">
        <f>IFERROR(AVERAGEIF(Sheet3!$A$1:$A$500,CONCATENATE("s.rule",A164,".tar.gz"),Sheet3!$B$1:$B$500),"")</f>
        <v>1474.8</v>
      </c>
      <c r="K164" s="19">
        <f>COUNTIF(Sheet3!$A$1:$A$100,CONCATENATE("s.rule",A164,".tar.gz"))</f>
        <v>1</v>
      </c>
      <c r="L164" s="13">
        <f t="shared" si="43"/>
        <v>0</v>
      </c>
    </row>
    <row r="165" spans="1:12" s="2" customFormat="1" x14ac:dyDescent="0.3">
      <c r="A165" s="8" t="s">
        <v>128</v>
      </c>
      <c r="B165" s="10">
        <v>23</v>
      </c>
      <c r="C165" s="10">
        <v>18</v>
      </c>
      <c r="D165" s="10">
        <v>27</v>
      </c>
      <c r="E165" s="21">
        <v>46</v>
      </c>
      <c r="F165" s="2">
        <f t="shared" si="46"/>
        <v>114</v>
      </c>
      <c r="G165" s="7">
        <f t="shared" si="40"/>
        <v>0.85750000000000004</v>
      </c>
      <c r="H165" s="3">
        <v>1499.3</v>
      </c>
      <c r="I165" s="3">
        <f t="array" ref="I165">MAX(IF(Sheet3!$A$1:$A$500=CONCATENATE("s.rule",A165,".tar.gz"), Sheet3!$B$1:$B$500))</f>
        <v>1499.3</v>
      </c>
      <c r="J165" s="3">
        <f>IFERROR(AVERAGEIF(Sheet3!$A$1:$A$500,CONCATENATE("s.rule",A165,".tar.gz"),Sheet3!$B$1:$B$500),"")</f>
        <v>1499.3</v>
      </c>
      <c r="K165" s="19">
        <f>COUNTIF(Sheet3!$A$1:$A$100,CONCATENATE("s.rule",A165,".tar.gz"))</f>
        <v>1</v>
      </c>
      <c r="L165" s="13">
        <f t="shared" ref="L165:L177" si="48">IF(I165&lt;&gt;"",I165-H165,"")</f>
        <v>0</v>
      </c>
    </row>
    <row r="166" spans="1:12" s="2" customFormat="1" x14ac:dyDescent="0.3">
      <c r="A166" s="8">
        <v>525</v>
      </c>
      <c r="B166" s="10">
        <v>22</v>
      </c>
      <c r="C166" s="10">
        <v>25</v>
      </c>
      <c r="D166" s="10">
        <v>27</v>
      </c>
      <c r="E166" s="21">
        <v>50</v>
      </c>
      <c r="F166" s="2">
        <f t="shared" si="46"/>
        <v>124</v>
      </c>
      <c r="G166" s="7">
        <f t="shared" si="40"/>
        <v>0.84499999999999997</v>
      </c>
      <c r="H166" s="3">
        <v>1512.7</v>
      </c>
      <c r="I166" s="3">
        <f t="array" ref="I166">MAX(IF(Sheet3!$A$1:$A$500=CONCATENATE("s.rule",A166,".tar.gz"), Sheet3!$B$1:$B$500))</f>
        <v>1512.7</v>
      </c>
      <c r="J166" s="3">
        <f>IFERROR(AVERAGEIF(Sheet3!$A$1:$A$500,CONCATENATE("s.rule",A166,".tar.gz"),Sheet3!$B$1:$B$500),"")</f>
        <v>1512.7</v>
      </c>
      <c r="K166" s="19">
        <f>COUNTIF(Sheet3!$A$1:$A$100,CONCATENATE("s.rule",A166,".tar.gz"))</f>
        <v>1</v>
      </c>
      <c r="L166" s="13">
        <f t="shared" ref="L166:L172" si="49">IF(I166&lt;&gt;"",I166-H166,"")</f>
        <v>0</v>
      </c>
    </row>
    <row r="167" spans="1:12" s="2" customFormat="1" x14ac:dyDescent="0.3">
      <c r="A167" s="8" t="s">
        <v>141</v>
      </c>
      <c r="B167" s="10">
        <v>23</v>
      </c>
      <c r="C167" s="10">
        <v>20</v>
      </c>
      <c r="D167" s="10">
        <v>26</v>
      </c>
      <c r="E167" s="21">
        <v>48</v>
      </c>
      <c r="F167" s="2">
        <f t="shared" si="46"/>
        <v>117</v>
      </c>
      <c r="G167" s="7">
        <f t="shared" si="40"/>
        <v>0.85375000000000001</v>
      </c>
      <c r="H167" s="3">
        <v>1482.8</v>
      </c>
      <c r="I167" s="3">
        <f t="array" ref="I167">MAX(IF(Sheet3!$A$1:$A$500=CONCATENATE("s.rule",A167,".tar.gz"), Sheet3!$B$1:$B$500))</f>
        <v>1510.8</v>
      </c>
      <c r="J167" s="3">
        <f>IFERROR(AVERAGEIF(Sheet3!$A$1:$A$500,CONCATENATE("s.rule",A167,".tar.gz"),Sheet3!$B$1:$B$500),"")</f>
        <v>1503.3</v>
      </c>
      <c r="K167" s="19">
        <f>COUNTIF(Sheet3!$A$1:$A$100,CONCATENATE("s.rule",A167,".tar.gz"))</f>
        <v>2</v>
      </c>
      <c r="L167" s="13">
        <f t="shared" si="49"/>
        <v>28</v>
      </c>
    </row>
    <row r="168" spans="1:12" s="2" customFormat="1" x14ac:dyDescent="0.3">
      <c r="A168" s="8" t="s">
        <v>140</v>
      </c>
      <c r="B168" s="10">
        <v>23</v>
      </c>
      <c r="C168" s="10">
        <v>20</v>
      </c>
      <c r="D168" s="10">
        <v>26</v>
      </c>
      <c r="E168" s="21">
        <v>48</v>
      </c>
      <c r="F168" s="2">
        <f t="shared" si="46"/>
        <v>117</v>
      </c>
      <c r="G168" s="7">
        <f>1- F168/800</f>
        <v>0.85375000000000001</v>
      </c>
      <c r="H168" s="3">
        <v>1443</v>
      </c>
      <c r="I168" s="3">
        <f t="array" ref="I168">MAX(IF(Sheet3!$A$1:$A$500=CONCATENATE("s.rule",A168,".tar.gz"), Sheet3!$B$1:$B$500))</f>
        <v>1454.1</v>
      </c>
      <c r="J168" s="3">
        <f>IFERROR(AVERAGEIF(Sheet3!$A$1:$A$500,CONCATENATE("s.rule",A168,".tar.gz"),Sheet3!$B$1:$B$500),"")</f>
        <v>1454.1</v>
      </c>
      <c r="K168" s="19">
        <f>COUNTIF(Sheet3!$A$1:$A$100,CONCATENATE("s.rule",A168,".tar.gz"))</f>
        <v>1</v>
      </c>
      <c r="L168" s="13">
        <f>IF(I168&lt;&gt;"",I168-H168,"")</f>
        <v>11.099999999999909</v>
      </c>
    </row>
    <row r="169" spans="1:12" s="2" customFormat="1" x14ac:dyDescent="0.3">
      <c r="A169" s="8" t="s">
        <v>287</v>
      </c>
      <c r="B169" s="10">
        <v>18</v>
      </c>
      <c r="C169" s="10">
        <v>29</v>
      </c>
      <c r="D169" s="10">
        <v>26</v>
      </c>
      <c r="E169" s="21">
        <v>53</v>
      </c>
      <c r="F169" s="2">
        <f t="shared" si="46"/>
        <v>126</v>
      </c>
      <c r="G169" s="7">
        <f t="shared" si="40"/>
        <v>0.84250000000000003</v>
      </c>
      <c r="H169" s="3">
        <v>1443.6</v>
      </c>
      <c r="I169" s="3">
        <f t="array" ref="I169">MAX(IF(Sheet1!$A$1:$A$100=CONCATENATE("s.rule",A169,".tar.gz"), Sheet1!$E$1:$E$100))</f>
        <v>1413.8</v>
      </c>
      <c r="J169" s="3">
        <f>IFERROR(AVERAGEIF(Sheet1!$A$1:$A$100,CONCATENATE("s.rule",A169,".tar.gz"),Sheet1!$E$1:$E$100),"")</f>
        <v>1413.8</v>
      </c>
      <c r="K169" s="3">
        <f>COUNTIF(Sheet1!$A$1:$A$100,CONCATENATE("s.rule",A169,".tar.gz"))</f>
        <v>1</v>
      </c>
      <c r="L169" s="13">
        <f t="shared" si="49"/>
        <v>-29.799999999999955</v>
      </c>
    </row>
    <row r="170" spans="1:12" s="2" customFormat="1" x14ac:dyDescent="0.3">
      <c r="A170" s="8" t="s">
        <v>288</v>
      </c>
      <c r="B170" s="10">
        <v>15</v>
      </c>
      <c r="C170" s="10">
        <v>18</v>
      </c>
      <c r="D170" s="10">
        <v>19</v>
      </c>
      <c r="E170" s="21">
        <v>44</v>
      </c>
      <c r="F170" s="2">
        <f t="shared" si="46"/>
        <v>96</v>
      </c>
      <c r="G170" s="7">
        <f t="shared" si="40"/>
        <v>0.88</v>
      </c>
      <c r="H170" s="3">
        <v>1529.7</v>
      </c>
      <c r="I170" s="3">
        <f t="array" ref="I170">MAX(IF(Sheet1!$A$1:$A$100=CONCATENATE("s.rule",A170,".tar.gz"), Sheet1!$E$1:$E$100))</f>
        <v>1541.6</v>
      </c>
      <c r="J170" s="3">
        <f>IFERROR(AVERAGEIF(Sheet1!$A$1:$A$100,CONCATENATE("s.rule",A170,".tar.gz"),Sheet1!$E$1:$E$100),"")</f>
        <v>1541.6</v>
      </c>
      <c r="K170" s="3">
        <f>COUNTIF(Sheet1!$A$1:$A$100,CONCATENATE("s.rule",A170,".tar.gz"))</f>
        <v>1</v>
      </c>
      <c r="L170" s="13">
        <f t="shared" si="49"/>
        <v>11.899999999999864</v>
      </c>
    </row>
    <row r="171" spans="1:12" s="2" customFormat="1" x14ac:dyDescent="0.3">
      <c r="A171" s="8" t="s">
        <v>291</v>
      </c>
      <c r="B171" s="10">
        <v>21</v>
      </c>
      <c r="C171" s="10">
        <v>26</v>
      </c>
      <c r="D171" s="10">
        <v>28</v>
      </c>
      <c r="E171" s="21">
        <v>58</v>
      </c>
      <c r="F171" s="2">
        <f t="shared" si="46"/>
        <v>133</v>
      </c>
      <c r="G171" s="7">
        <f t="shared" si="40"/>
        <v>0.83374999999999999</v>
      </c>
      <c r="H171" s="3">
        <v>1478</v>
      </c>
      <c r="I171" s="3">
        <f t="array" ref="I171">MAX(IF(Sheet1!$A$1:$A$100=CONCATENATE("s.rule",A171,".tar.gz"), Sheet1!$E$1:$E$100))</f>
        <v>1493.5</v>
      </c>
      <c r="J171" s="3">
        <f>IFERROR(AVERAGEIF(Sheet1!$A$1:$A$100,CONCATENATE("s.rule",A171,".tar.gz"),Sheet1!$E$1:$E$100),"")</f>
        <v>1493.5</v>
      </c>
      <c r="K171" s="3">
        <f>COUNTIF(Sheet1!$A$1:$A$100,CONCATENATE("s.rule",A171,".tar.gz"))</f>
        <v>1</v>
      </c>
      <c r="L171" s="13">
        <f t="shared" si="49"/>
        <v>15.5</v>
      </c>
    </row>
    <row r="172" spans="1:12" s="2" customFormat="1" x14ac:dyDescent="0.3">
      <c r="A172" s="8" t="s">
        <v>375</v>
      </c>
      <c r="B172" s="10">
        <v>19</v>
      </c>
      <c r="C172" s="10">
        <v>18</v>
      </c>
      <c r="D172" s="10">
        <v>22</v>
      </c>
      <c r="E172" s="21">
        <v>47</v>
      </c>
      <c r="F172" s="2">
        <f t="shared" si="46"/>
        <v>106</v>
      </c>
      <c r="G172" s="7">
        <f t="shared" si="40"/>
        <v>0.86749999999999994</v>
      </c>
      <c r="H172" s="3">
        <v>1468.8</v>
      </c>
      <c r="I172" s="3">
        <f t="array" ref="I172">MAX(IF(Sheet1!$A$1:$A$100=CONCATENATE("s.rule",A172,".tar.gz"), Sheet1!$E$1:$E$100))</f>
        <v>1462</v>
      </c>
      <c r="J172" s="3">
        <f>IFERROR(AVERAGEIF(Sheet1!$A$1:$A$100,CONCATENATE("s.rule",A172,".tar.gz"),Sheet1!$E$1:$E$100),"")</f>
        <v>1462</v>
      </c>
      <c r="K172" s="3">
        <f>COUNTIF(Sheet1!$A$1:$A$100,CONCATENATE("s.rule",A172,".tar.gz"))</f>
        <v>1</v>
      </c>
      <c r="L172" s="13">
        <f t="shared" si="49"/>
        <v>-6.7999999999999545</v>
      </c>
    </row>
    <row r="173" spans="1:12" s="2" customFormat="1" x14ac:dyDescent="0.3">
      <c r="A173" s="8" t="s">
        <v>377</v>
      </c>
      <c r="B173" s="10">
        <v>12</v>
      </c>
      <c r="C173" s="10">
        <v>18</v>
      </c>
      <c r="D173" s="10">
        <v>14</v>
      </c>
      <c r="E173" s="21">
        <v>35</v>
      </c>
      <c r="F173" s="2">
        <f t="shared" si="46"/>
        <v>79</v>
      </c>
      <c r="G173" s="7">
        <f t="shared" si="40"/>
        <v>0.90125</v>
      </c>
      <c r="H173" s="3">
        <v>1468.4</v>
      </c>
      <c r="I173" s="3">
        <f t="array" ref="I173">MAX(IF(Sheet1!$A$1:$A$100=CONCATENATE("s.rule",A173,".tar.gz"), Sheet1!$E$1:$E$100))</f>
        <v>1476.1</v>
      </c>
      <c r="J173" s="3">
        <f>IFERROR(AVERAGEIF(Sheet1!$A$1:$A$100,CONCATENATE("s.rule",A173,".tar.gz"),Sheet1!$E$1:$E$100),"")</f>
        <v>1476.1</v>
      </c>
      <c r="K173" s="3">
        <f>COUNTIF(Sheet1!$A$1:$A$100,CONCATENATE("s.rule",A173,".tar.gz"))</f>
        <v>1</v>
      </c>
      <c r="L173" s="13">
        <f t="shared" si="48"/>
        <v>7.6999999999998181</v>
      </c>
    </row>
    <row r="174" spans="1:12" s="2" customFormat="1" x14ac:dyDescent="0.3">
      <c r="A174" s="8" t="s">
        <v>278</v>
      </c>
      <c r="B174" s="10">
        <v>21</v>
      </c>
      <c r="C174" s="10">
        <v>20</v>
      </c>
      <c r="D174" s="10">
        <v>26</v>
      </c>
      <c r="E174" s="21">
        <v>52</v>
      </c>
      <c r="F174" s="2">
        <f t="shared" si="46"/>
        <v>119</v>
      </c>
      <c r="G174" s="7">
        <f t="shared" si="40"/>
        <v>0.85125000000000006</v>
      </c>
      <c r="H174" s="3">
        <v>1552.8</v>
      </c>
      <c r="I174" s="3">
        <f t="array" ref="I174">MAX(IF(Sheet1!$A$1:$A$100=CONCATENATE("s.rule",A174,".tar.gz"), Sheet1!$E$1:$E$100))</f>
        <v>1561</v>
      </c>
      <c r="J174" s="3">
        <f>IFERROR(AVERAGEIF(Sheet1!$A$1:$A$100,CONCATENATE("s.rule",A174,".tar.gz"),Sheet1!$E$1:$E$100),"")</f>
        <v>1516.15</v>
      </c>
      <c r="K174" s="3">
        <f>COUNTIF(Sheet1!$A$1:$A$100,CONCATENATE("s.rule",A174,".tar.gz"))</f>
        <v>2</v>
      </c>
      <c r="L174" s="13">
        <f t="shared" ref="L174" si="50">IF(I174&lt;&gt;"",I174-H174,"")</f>
        <v>8.2000000000000455</v>
      </c>
    </row>
    <row r="175" spans="1:12" s="2" customFormat="1" x14ac:dyDescent="0.3">
      <c r="A175" s="8" t="s">
        <v>293</v>
      </c>
      <c r="B175" s="10">
        <v>21</v>
      </c>
      <c r="C175" s="10">
        <v>20</v>
      </c>
      <c r="D175" s="10">
        <v>26</v>
      </c>
      <c r="E175" s="21">
        <v>52</v>
      </c>
      <c r="F175" s="2">
        <f t="shared" si="46"/>
        <v>119</v>
      </c>
      <c r="G175" s="7">
        <f t="shared" si="40"/>
        <v>0.85125000000000006</v>
      </c>
      <c r="H175" s="3">
        <v>1453.1</v>
      </c>
      <c r="I175" s="3">
        <f t="array" ref="I175">MAX(IF(Sheet1!$A$1:$A$100=CONCATENATE("s.rule",A175,".tar.gz"), Sheet1!$E$1:$E$100))</f>
        <v>1439.6</v>
      </c>
      <c r="J175" s="3">
        <f>IFERROR(AVERAGEIF(Sheet1!$A$1:$A$100,CONCATENATE("s.rule",A175,".tar.gz"),Sheet1!$E$1:$E$100),"")</f>
        <v>1439.6</v>
      </c>
      <c r="K175" s="3">
        <f>COUNTIF(Sheet1!$A$1:$A$100,CONCATENATE("s.rule",A175,".tar.gz"))</f>
        <v>1</v>
      </c>
      <c r="L175" s="13">
        <f t="shared" ref="L175" si="51">IF(I175&lt;&gt;"",I175-H175,"")</f>
        <v>-13.5</v>
      </c>
    </row>
    <row r="176" spans="1:12" s="2" customFormat="1" x14ac:dyDescent="0.3">
      <c r="A176" s="12">
        <v>625</v>
      </c>
      <c r="B176" s="10">
        <v>12</v>
      </c>
      <c r="C176" s="10">
        <v>23</v>
      </c>
      <c r="D176" s="10">
        <v>25</v>
      </c>
      <c r="E176" s="21">
        <v>54</v>
      </c>
      <c r="F176" s="2">
        <f t="shared" si="46"/>
        <v>114</v>
      </c>
      <c r="G176" s="7">
        <f t="shared" si="40"/>
        <v>0.85750000000000004</v>
      </c>
      <c r="H176" s="3">
        <v>1521.6</v>
      </c>
      <c r="I176" s="3">
        <f t="array" ref="I176">MAX(IF(Sheet3!$A$1:$A$500=CONCATENATE("s.rule",A176,".tar.gz"), Sheet3!$B$1:$B$500))</f>
        <v>1521.6</v>
      </c>
      <c r="J176" s="3">
        <f>IFERROR(AVERAGEIF(Sheet3!$A$1:$A$500,CONCATENATE("s.rule",A176,".tar.gz"),Sheet3!$B$1:$B$500),"")</f>
        <v>1521.6</v>
      </c>
      <c r="K176" s="19">
        <f>COUNTIF(Sheet3!$A$1:$A$100,CONCATENATE("s.rule",A176,".tar.gz"))</f>
        <v>1</v>
      </c>
      <c r="L176" s="13">
        <f t="shared" si="48"/>
        <v>0</v>
      </c>
    </row>
    <row r="177" spans="1:12" s="2" customFormat="1" x14ac:dyDescent="0.3">
      <c r="A177" s="12" t="s">
        <v>152</v>
      </c>
      <c r="B177" s="10">
        <v>23</v>
      </c>
      <c r="C177" s="10">
        <v>20</v>
      </c>
      <c r="D177" s="10">
        <v>26</v>
      </c>
      <c r="E177" s="21">
        <v>48</v>
      </c>
      <c r="F177" s="2">
        <f t="shared" si="46"/>
        <v>117</v>
      </c>
      <c r="G177" s="7">
        <f t="shared" si="40"/>
        <v>0.85375000000000001</v>
      </c>
      <c r="H177" s="3">
        <v>1534.1</v>
      </c>
      <c r="I177" s="3">
        <f t="array" ref="I177">MAX(IF(Sheet3!$A$1:$A$500=CONCATENATE("s.rule",A177,".tar.gz"), Sheet3!$B$1:$B$500))</f>
        <v>1539.6</v>
      </c>
      <c r="J177" s="3">
        <f>IFERROR(AVERAGEIF(Sheet3!$A$1:$A$500,CONCATENATE("s.rule",A177,".tar.gz"),Sheet3!$B$1:$B$500),"")</f>
        <v>1519.9499999999998</v>
      </c>
      <c r="K177" s="19">
        <f>COUNTIF(Sheet3!$A$1:$A$100,CONCATENATE("s.rule",A177,".tar.gz"))</f>
        <v>2</v>
      </c>
      <c r="L177" s="13">
        <f t="shared" si="48"/>
        <v>5.5</v>
      </c>
    </row>
    <row r="178" spans="1:12" s="2" customFormat="1" x14ac:dyDescent="0.3">
      <c r="A178" s="14" t="s">
        <v>144</v>
      </c>
      <c r="B178" s="10">
        <v>23</v>
      </c>
      <c r="C178" s="10">
        <v>21</v>
      </c>
      <c r="D178" s="10">
        <v>15</v>
      </c>
      <c r="E178" s="21">
        <v>47</v>
      </c>
      <c r="F178" s="2">
        <f t="shared" si="46"/>
        <v>106</v>
      </c>
      <c r="G178" s="7">
        <f t="shared" si="40"/>
        <v>0.86749999999999994</v>
      </c>
      <c r="H178" s="3">
        <v>1501.7</v>
      </c>
      <c r="I178" s="3">
        <f t="array" ref="I178">MAX(IF(Sheet3!$A$1:$A$500=CONCATENATE("s.rule",A178,".tar.gz"), Sheet3!$B$1:$B$500))</f>
        <v>1497.6</v>
      </c>
      <c r="J178" s="3">
        <f>IFERROR(AVERAGEIF(Sheet3!$A$1:$A$500,CONCATENATE("s.rule",A178,".tar.gz"),Sheet3!$B$1:$B$500),"")</f>
        <v>1497.6</v>
      </c>
      <c r="K178" s="19">
        <f>COUNTIF(Sheet3!$A$1:$A$100,CONCATENATE("s.rule",A178,".tar.gz"))</f>
        <v>1</v>
      </c>
      <c r="L178" s="13">
        <f t="shared" si="43"/>
        <v>-4.1000000000001364</v>
      </c>
    </row>
    <row r="179" spans="1:12" s="2" customFormat="1" x14ac:dyDescent="0.3">
      <c r="A179" s="14" t="s">
        <v>148</v>
      </c>
      <c r="B179" s="10">
        <v>23</v>
      </c>
      <c r="C179" s="10">
        <v>22</v>
      </c>
      <c r="D179" s="10">
        <v>19</v>
      </c>
      <c r="E179" s="21">
        <v>47</v>
      </c>
      <c r="F179" s="2">
        <f t="shared" si="46"/>
        <v>111</v>
      </c>
      <c r="G179" s="7">
        <f t="shared" si="40"/>
        <v>0.86124999999999996</v>
      </c>
      <c r="H179" s="3">
        <v>1495.6</v>
      </c>
      <c r="I179" s="3">
        <f t="array" ref="I179">MAX(IF(Sheet3!$A$1:$A$500=CONCATENATE("s.r",A179,".tar.gz"), Sheet3!$B$1:$B$500))</f>
        <v>1496.8</v>
      </c>
      <c r="J179" s="3">
        <f>IFERROR(AVERAGEIF(Sheet3!$A$1:$A$500,CONCATENATE("s.r",A179,".tar.gz"),Sheet3!$B$1:$B$500),"")</f>
        <v>1496.8</v>
      </c>
      <c r="K179" s="19">
        <f>COUNTIF(Sheet3!$A$1:$A$100,CONCATENATE("s.r",A179,".tar.gz"))</f>
        <v>1</v>
      </c>
      <c r="L179" s="13">
        <f t="shared" ref="L179:L198" si="52">IF(I179&lt;&gt;"",I179-H179,"")</f>
        <v>1.2000000000000455</v>
      </c>
    </row>
    <row r="180" spans="1:12" s="2" customFormat="1" x14ac:dyDescent="0.3">
      <c r="A180" s="14" t="s">
        <v>149</v>
      </c>
      <c r="B180" s="10">
        <v>27</v>
      </c>
      <c r="C180" s="10">
        <v>20</v>
      </c>
      <c r="D180" s="10">
        <v>24</v>
      </c>
      <c r="E180" s="21">
        <v>58</v>
      </c>
      <c r="F180" s="2">
        <f t="shared" si="46"/>
        <v>129</v>
      </c>
      <c r="G180" s="7">
        <f t="shared" si="40"/>
        <v>0.83875</v>
      </c>
      <c r="H180" s="3">
        <v>1533.6</v>
      </c>
      <c r="I180" s="3">
        <f t="array" ref="I180">MAX(IF(Sheet3!$A$1:$A$500=CONCATENATE("s.r",A180,".tar.gz"), Sheet3!$B$1:$B$500))</f>
        <v>1533.6</v>
      </c>
      <c r="J180" s="3">
        <f>IFERROR(AVERAGEIF(Sheet3!$A$1:$A$500,CONCATENATE("s.r",A180,".tar.gz"),Sheet3!$B$1:$B$500),"")</f>
        <v>1521.85</v>
      </c>
      <c r="K180" s="19">
        <f>COUNTIF(Sheet3!$A$1:$A$100,CONCATENATE("s.r",A180,".tar.gz"))</f>
        <v>2</v>
      </c>
      <c r="L180" s="13">
        <f t="shared" si="52"/>
        <v>0</v>
      </c>
    </row>
    <row r="181" spans="1:12" s="2" customFormat="1" x14ac:dyDescent="0.3">
      <c r="A181" s="14" t="s">
        <v>154</v>
      </c>
      <c r="B181" s="10">
        <v>18</v>
      </c>
      <c r="C181" s="10">
        <v>20</v>
      </c>
      <c r="D181" s="10">
        <v>22</v>
      </c>
      <c r="E181" s="21">
        <v>50</v>
      </c>
      <c r="F181" s="2">
        <f t="shared" si="46"/>
        <v>110</v>
      </c>
      <c r="G181" s="7">
        <f t="shared" si="40"/>
        <v>0.86250000000000004</v>
      </c>
      <c r="H181" s="3">
        <v>1505.4</v>
      </c>
      <c r="I181" s="3">
        <f t="array" ref="I181">MAX(IF(Sheet3!$A$1:$A$500=CONCATENATE("s.r",A181,".tar.gz"), Sheet3!$B$1:$B$500))</f>
        <v>1506.7</v>
      </c>
      <c r="J181" s="3">
        <f>IFERROR(AVERAGEIF(Sheet3!$A$1:$A$500,CONCATENATE("s.r",A181,".tar.gz"),Sheet3!$B$1:$B$500),"")</f>
        <v>1506.7</v>
      </c>
      <c r="K181" s="19">
        <f>COUNTIF(Sheet3!$A$1:$A$100,CONCATENATE("s.r",A181,".tar.gz"))</f>
        <v>1</v>
      </c>
      <c r="L181" s="13">
        <f t="shared" si="52"/>
        <v>1.2999999999999545</v>
      </c>
    </row>
    <row r="182" spans="1:12" s="2" customFormat="1" x14ac:dyDescent="0.3">
      <c r="A182" s="14" t="s">
        <v>157</v>
      </c>
      <c r="B182" s="10">
        <v>16</v>
      </c>
      <c r="C182" s="10">
        <v>17</v>
      </c>
      <c r="D182" s="10">
        <v>17</v>
      </c>
      <c r="E182" s="21">
        <v>45</v>
      </c>
      <c r="F182" s="2">
        <f t="shared" si="46"/>
        <v>95</v>
      </c>
      <c r="G182" s="7">
        <f t="shared" si="40"/>
        <v>0.88124999999999998</v>
      </c>
      <c r="H182" s="3">
        <v>1533.3</v>
      </c>
      <c r="I182" s="3">
        <f t="array" ref="I182">MAX(IF(Sheet3!$A$1:$A$500=CONCATENATE("s.r",A182,".tar.gz"), Sheet3!$B$1:$B$500))</f>
        <v>1524.6</v>
      </c>
      <c r="J182" s="3">
        <f>IFERROR(AVERAGEIF(Sheet3!$A$1:$A$500,CONCATENATE("s.r",A182,".tar.gz"),Sheet3!$B$1:$B$500),"")</f>
        <v>1500.15</v>
      </c>
      <c r="K182" s="19">
        <f>COUNTIF(Sheet3!$A$1:$A$100,CONCATENATE("s.r",A182,".tar.gz"))</f>
        <v>2</v>
      </c>
      <c r="L182" s="13">
        <f t="shared" ref="L182:L190" si="53">IF(I182&lt;&gt;"",I182-H182,"")</f>
        <v>-8.7000000000000455</v>
      </c>
    </row>
    <row r="183" spans="1:12" s="2" customFormat="1" x14ac:dyDescent="0.3">
      <c r="A183" s="14" t="s">
        <v>158</v>
      </c>
      <c r="B183" s="10">
        <v>11</v>
      </c>
      <c r="C183" s="10">
        <v>21</v>
      </c>
      <c r="D183" s="10">
        <v>19</v>
      </c>
      <c r="E183" s="21">
        <v>44</v>
      </c>
      <c r="F183" s="2">
        <f t="shared" si="46"/>
        <v>95</v>
      </c>
      <c r="G183" s="7">
        <f t="shared" si="40"/>
        <v>0.88124999999999998</v>
      </c>
      <c r="H183" s="3">
        <v>1492.4</v>
      </c>
      <c r="I183" s="3">
        <f t="array" ref="I183">MAX(IF(Sheet3!$A$1:$A$500=CONCATENATE("s.r",A183,".tar.gz"), Sheet3!$B$1:$B$500))</f>
        <v>1492.2</v>
      </c>
      <c r="J183" s="3">
        <f>IFERROR(AVERAGEIF(Sheet3!$A$1:$A$500,CONCATENATE("s.r",A183,".tar.gz"),Sheet3!$B$1:$B$500),"")</f>
        <v>1482.5500000000002</v>
      </c>
      <c r="K183" s="19">
        <f>COUNTIF(Sheet3!$A$1:$A$100,CONCATENATE("s.r",A183,".tar.gz"))</f>
        <v>2</v>
      </c>
      <c r="L183" s="13">
        <f t="shared" si="53"/>
        <v>-0.20000000000004547</v>
      </c>
    </row>
    <row r="184" spans="1:12" s="2" customFormat="1" x14ac:dyDescent="0.3">
      <c r="A184" s="14" t="s">
        <v>276</v>
      </c>
      <c r="B184" s="10">
        <v>19</v>
      </c>
      <c r="C184" s="10">
        <v>20</v>
      </c>
      <c r="D184" s="10">
        <v>14</v>
      </c>
      <c r="E184" s="21">
        <v>47</v>
      </c>
      <c r="F184" s="2">
        <f t="shared" si="46"/>
        <v>100</v>
      </c>
      <c r="G184" s="7">
        <f t="shared" si="40"/>
        <v>0.875</v>
      </c>
      <c r="H184" s="3">
        <v>1504.6</v>
      </c>
      <c r="I184" s="3">
        <f t="array" ref="I184">MAX(IF(Sheet3!$A$1:$A$500=CONCATENATE("s.r",A184,".tar.gz"), Sheet3!$B$1:$B$500))</f>
        <v>1505</v>
      </c>
      <c r="J184" s="3">
        <f>IFERROR(AVERAGEIF(Sheet3!$A$1:$A$500,CONCATENATE("s.r",A184,".tar.gz"),Sheet3!$B$1:$B$500),"")</f>
        <v>1498</v>
      </c>
      <c r="K184" s="19">
        <f>COUNTIF(Sheet3!$A$1:$A$100,CONCATENATE("s.r",A184,".tar.gz"))</f>
        <v>3</v>
      </c>
      <c r="L184" s="13">
        <f t="shared" si="53"/>
        <v>0.40000000000009095</v>
      </c>
    </row>
    <row r="185" spans="1:12" s="2" customFormat="1" x14ac:dyDescent="0.3">
      <c r="A185" s="15" t="s">
        <v>282</v>
      </c>
      <c r="B185" s="10">
        <v>19</v>
      </c>
      <c r="C185" s="10">
        <v>18</v>
      </c>
      <c r="D185" s="10">
        <v>26</v>
      </c>
      <c r="E185" s="21">
        <v>47</v>
      </c>
      <c r="F185" s="2">
        <f t="shared" si="46"/>
        <v>110</v>
      </c>
      <c r="G185" s="7">
        <f t="shared" si="40"/>
        <v>0.86250000000000004</v>
      </c>
      <c r="H185" s="3">
        <v>1498.3</v>
      </c>
      <c r="I185" s="3">
        <f t="array" ref="I185">MAX(IF(Sheet1!$A$1:$A$100=CONCATENATE("s.rule",A185,".tar.gz"), Sheet1!$E$1:$E$100))</f>
        <v>1476.8</v>
      </c>
      <c r="J185" s="3">
        <f>IFERROR(AVERAGEIF(Sheet1!$A$1:$A$100,CONCATENATE("s.rule",A185,".tar.gz"),Sheet1!$E$1:$E$100),"")</f>
        <v>1476.8</v>
      </c>
      <c r="K185" s="3">
        <f>COUNTIF(Sheet1!$A$1:$A$100,CONCATENATE("s.rule",A185,".tar.gz"))</f>
        <v>1</v>
      </c>
      <c r="L185" s="13">
        <f t="shared" si="53"/>
        <v>-21.5</v>
      </c>
    </row>
    <row r="186" spans="1:12" s="2" customFormat="1" x14ac:dyDescent="0.3">
      <c r="A186" s="15" t="s">
        <v>374</v>
      </c>
      <c r="B186" s="10">
        <v>16</v>
      </c>
      <c r="C186" s="10">
        <v>20</v>
      </c>
      <c r="D186" s="10">
        <v>25</v>
      </c>
      <c r="E186" s="21">
        <v>46</v>
      </c>
      <c r="F186" s="2">
        <f t="shared" si="46"/>
        <v>107</v>
      </c>
      <c r="G186" s="7">
        <f t="shared" si="40"/>
        <v>0.86624999999999996</v>
      </c>
      <c r="H186" s="3">
        <v>1478.3</v>
      </c>
      <c r="I186" s="3">
        <f t="array" ref="I186">MAX(IF(Sheet1!$A$1:$A$100=CONCATENATE("s.rule",A186,".tar.gz"), Sheet1!$E$1:$E$100))</f>
        <v>1503.1</v>
      </c>
      <c r="J186" s="3">
        <f>IFERROR(AVERAGEIF(Sheet1!$A$1:$A$100,CONCATENATE("s.rule",A186,".tar.gz"),Sheet1!$E$1:$E$100),"")</f>
        <v>1503.1</v>
      </c>
      <c r="K186" s="3">
        <f>COUNTIF(Sheet1!$A$1:$A$100,CONCATENATE("s.rule",A186,".tar.gz"))</f>
        <v>1</v>
      </c>
      <c r="L186" s="13">
        <f t="shared" si="53"/>
        <v>24.799999999999955</v>
      </c>
    </row>
    <row r="187" spans="1:12" s="2" customFormat="1" x14ac:dyDescent="0.3">
      <c r="A187" s="15" t="s">
        <v>285</v>
      </c>
      <c r="B187" s="10">
        <v>14</v>
      </c>
      <c r="C187" s="10">
        <v>28</v>
      </c>
      <c r="D187" s="10">
        <v>18</v>
      </c>
      <c r="E187" s="21">
        <v>48</v>
      </c>
      <c r="F187" s="2">
        <f t="shared" si="46"/>
        <v>108</v>
      </c>
      <c r="G187" s="7">
        <f t="shared" si="40"/>
        <v>0.86499999999999999</v>
      </c>
      <c r="H187" s="3">
        <v>1508</v>
      </c>
      <c r="I187" s="3">
        <f t="array" ref="I187">MAX(IF(Sheet1!$A$1:$A$100=CONCATENATE("s.rule",A187,".tar.gz"), Sheet1!$E$1:$E$100))</f>
        <v>1482.4</v>
      </c>
      <c r="J187" s="3">
        <f>IFERROR(AVERAGEIF(Sheet1!$A$1:$A$100,CONCATENATE("s.rule",A187,".tar.gz"),Sheet1!$E$1:$E$100),"")</f>
        <v>1482.4</v>
      </c>
      <c r="K187" s="3">
        <f>COUNTIF(Sheet1!$A$1:$A$100,CONCATENATE("s.rule",A187,".tar.gz"))</f>
        <v>1</v>
      </c>
      <c r="L187" s="13">
        <f t="shared" si="53"/>
        <v>-25.599999999999909</v>
      </c>
    </row>
    <row r="188" spans="1:12" s="2" customFormat="1" x14ac:dyDescent="0.3">
      <c r="A188" s="16" t="s">
        <v>391</v>
      </c>
      <c r="B188" s="10">
        <v>23</v>
      </c>
      <c r="C188" s="10">
        <v>22</v>
      </c>
      <c r="D188" s="10">
        <v>24</v>
      </c>
      <c r="E188" s="21">
        <v>44</v>
      </c>
      <c r="F188" s="2">
        <f t="shared" si="46"/>
        <v>113</v>
      </c>
      <c r="G188" s="7">
        <f t="shared" si="40"/>
        <v>0.85875000000000001</v>
      </c>
      <c r="H188" s="3">
        <v>1445</v>
      </c>
      <c r="I188" s="3">
        <f t="array" ref="I188">MAX(IF(Sheet1!$A$1:$A$100=CONCATENATE("s.rule",A188,".tar.gz"), Sheet1!$E$1:$E$100))</f>
        <v>1481.3</v>
      </c>
      <c r="J188" s="3">
        <f>IFERROR(AVERAGEIF(Sheet1!$A$1:$A$100,CONCATENATE("s.rule",A188,".tar.gz"),Sheet1!$E$1:$E$100),"")</f>
        <v>1481.3</v>
      </c>
      <c r="K188" s="3">
        <f>COUNTIF(Sheet1!$A$1:$A$100,CONCATENATE("s.rule",A188,".tar.gz"))</f>
        <v>1</v>
      </c>
      <c r="L188" s="13">
        <f t="shared" ref="L188" si="54">IF(I188&lt;&gt;"",I188-H188,"")</f>
        <v>36.299999999999955</v>
      </c>
    </row>
    <row r="189" spans="1:12" s="2" customFormat="1" x14ac:dyDescent="0.3">
      <c r="A189" s="17" t="s">
        <v>382</v>
      </c>
      <c r="B189" s="10">
        <v>15</v>
      </c>
      <c r="C189" s="10">
        <v>23</v>
      </c>
      <c r="D189" s="10">
        <v>19</v>
      </c>
      <c r="E189" s="21">
        <v>48</v>
      </c>
      <c r="F189" s="2">
        <f t="shared" si="46"/>
        <v>105</v>
      </c>
      <c r="G189" s="7">
        <f t="shared" si="40"/>
        <v>0.86875000000000002</v>
      </c>
      <c r="H189" s="3">
        <v>1488.3</v>
      </c>
      <c r="I189" s="3">
        <f t="array" ref="I189">MAX(IF(Sheet1!$A$1:$A$100=CONCATENATE("s.rule",A189,".tar.gz"), Sheet1!$E$1:$E$100))</f>
        <v>1449.9</v>
      </c>
      <c r="J189" s="3">
        <f>IFERROR(AVERAGEIF(Sheet1!$A$1:$A$100,CONCATENATE("s.rule",A189,".tar.gz"),Sheet1!$E$1:$E$100),"")</f>
        <v>1449.9</v>
      </c>
      <c r="K189" s="3">
        <f>COUNTIF(Sheet1!$A$1:$A$100,CONCATENATE("s.rule",A189,".tar.gz"))</f>
        <v>1</v>
      </c>
      <c r="L189" s="13">
        <f t="shared" si="53"/>
        <v>-38.399999999999864</v>
      </c>
    </row>
    <row r="190" spans="1:12" s="2" customFormat="1" x14ac:dyDescent="0.3">
      <c r="A190" s="17" t="s">
        <v>383</v>
      </c>
      <c r="B190" s="10">
        <v>14</v>
      </c>
      <c r="C190" s="10">
        <v>21</v>
      </c>
      <c r="D190" s="10">
        <v>18</v>
      </c>
      <c r="E190" s="21">
        <v>43</v>
      </c>
      <c r="F190" s="2">
        <f t="shared" si="46"/>
        <v>96</v>
      </c>
      <c r="G190" s="7">
        <f t="shared" si="40"/>
        <v>0.88</v>
      </c>
      <c r="H190" s="3">
        <v>1470.2</v>
      </c>
      <c r="I190" s="3">
        <f t="array" ref="I190">MAX(IF(Sheet1!$A$1:$A$100=CONCATENATE("s.rule",A190,".tar.gz"), Sheet1!$E$1:$E$100))</f>
        <v>1467.5</v>
      </c>
      <c r="J190" s="3">
        <f>IFERROR(AVERAGEIF(Sheet1!$A$1:$A$100,CONCATENATE("s.rule",A190,".tar.gz"),Sheet1!$E$1:$E$100),"")</f>
        <v>1467.5</v>
      </c>
      <c r="K190" s="3">
        <f>COUNTIF(Sheet1!$A$1:$A$100,CONCATENATE("s.rule",A190,".tar.gz"))</f>
        <v>1</v>
      </c>
      <c r="L190" s="13">
        <f t="shared" si="53"/>
        <v>-2.7000000000000455</v>
      </c>
    </row>
    <row r="191" spans="1:12" s="2" customFormat="1" x14ac:dyDescent="0.3">
      <c r="A191" s="17" t="s">
        <v>384</v>
      </c>
      <c r="B191" s="10">
        <v>14</v>
      </c>
      <c r="C191" s="10">
        <v>21</v>
      </c>
      <c r="D191" s="10">
        <v>18</v>
      </c>
      <c r="E191" s="21">
        <v>43</v>
      </c>
      <c r="F191" s="2">
        <f t="shared" si="46"/>
        <v>96</v>
      </c>
      <c r="G191" s="7">
        <f t="shared" si="40"/>
        <v>0.88</v>
      </c>
      <c r="H191" s="3">
        <v>1499.6</v>
      </c>
      <c r="I191" s="3">
        <f t="array" ref="I191">MAX(IF(Sheet1!$A$1:$A$100=CONCATENATE("s.rule",A191,".tar.gz"), Sheet1!$E$1:$E$100))</f>
        <v>1505.3</v>
      </c>
      <c r="J191" s="3">
        <f>IFERROR(AVERAGEIF(Sheet1!$A$1:$A$100,CONCATENATE("s.rule",A191,".tar.gz"),Sheet1!$E$1:$E$100),"")</f>
        <v>1505.3</v>
      </c>
      <c r="K191" s="3">
        <f>COUNTIF(Sheet1!$A$1:$A$100,CONCATENATE("s.rule",A191,".tar.gz"))</f>
        <v>1</v>
      </c>
      <c r="L191" s="13">
        <f t="shared" si="52"/>
        <v>5.7000000000000455</v>
      </c>
    </row>
    <row r="192" spans="1:12" s="2" customFormat="1" x14ac:dyDescent="0.3">
      <c r="A192" s="17" t="s">
        <v>387</v>
      </c>
      <c r="B192" s="10">
        <v>17</v>
      </c>
      <c r="C192" s="10">
        <v>22</v>
      </c>
      <c r="D192" s="10">
        <v>17</v>
      </c>
      <c r="E192" s="21">
        <v>51</v>
      </c>
      <c r="F192" s="2">
        <f t="shared" si="46"/>
        <v>107</v>
      </c>
      <c r="G192" s="7">
        <f t="shared" si="40"/>
        <v>0.86624999999999996</v>
      </c>
      <c r="H192" s="3">
        <v>1491.5</v>
      </c>
      <c r="I192" s="3">
        <f t="array" ref="I192">MAX(IF(Sheet1!$A$1:$A$100=CONCATENATE("s.rule",A192,".tar.gz"), Sheet1!$E$1:$E$100))</f>
        <v>1497.8</v>
      </c>
      <c r="J192" s="3">
        <f>IFERROR(AVERAGEIF(Sheet1!$A$1:$A$100,CONCATENATE("s.rule",A192,".tar.gz"),Sheet1!$E$1:$E$100),"")</f>
        <v>1497.8</v>
      </c>
      <c r="K192" s="3">
        <f>COUNTIF(Sheet1!$A$1:$A$100,CONCATENATE("s.rule",A192,".tar.gz"))</f>
        <v>1</v>
      </c>
      <c r="L192" s="13">
        <f t="shared" si="52"/>
        <v>6.2999999999999545</v>
      </c>
    </row>
    <row r="193" spans="1:12" s="2" customFormat="1" x14ac:dyDescent="0.3">
      <c r="A193" s="17" t="s">
        <v>393</v>
      </c>
      <c r="B193" s="10">
        <v>10</v>
      </c>
      <c r="C193" s="10">
        <v>20</v>
      </c>
      <c r="D193" s="10">
        <v>19</v>
      </c>
      <c r="E193" s="21">
        <v>40</v>
      </c>
      <c r="F193" s="2">
        <f t="shared" si="46"/>
        <v>89</v>
      </c>
      <c r="G193" s="7">
        <f t="shared" si="40"/>
        <v>0.88875000000000004</v>
      </c>
      <c r="H193" s="3">
        <v>1479.2</v>
      </c>
      <c r="I193" s="3">
        <f t="array" ref="I193">MAX(IF(Sheet1!$A$1:$A$100=CONCATENATE("s.rule",A193,".tar.gz"), Sheet1!$E$1:$E$100))</f>
        <v>1503.1</v>
      </c>
      <c r="J193" s="3">
        <f>IFERROR(AVERAGEIF(Sheet1!$A$1:$A$100,CONCATENATE("s.rule",A193,".tar.gz"),Sheet1!$E$1:$E$100),"")</f>
        <v>1503.1</v>
      </c>
      <c r="K193" s="3">
        <f>COUNTIF(Sheet1!$A$1:$A$100,CONCATENATE("s.rule",A193,".tar.gz"))</f>
        <v>1</v>
      </c>
      <c r="L193" s="13">
        <f t="shared" ref="L193:L194" si="55">IF(I193&lt;&gt;"",I193-H193,"")</f>
        <v>23.899999999999864</v>
      </c>
    </row>
    <row r="194" spans="1:12" s="2" customFormat="1" x14ac:dyDescent="0.3">
      <c r="A194" s="17" t="s">
        <v>397</v>
      </c>
      <c r="B194" s="10">
        <v>13</v>
      </c>
      <c r="C194" s="10">
        <v>14</v>
      </c>
      <c r="D194" s="10">
        <v>16</v>
      </c>
      <c r="E194" s="21">
        <v>38</v>
      </c>
      <c r="F194" s="2">
        <f t="shared" si="46"/>
        <v>81</v>
      </c>
      <c r="G194" s="7">
        <f t="shared" si="40"/>
        <v>0.89874999999999994</v>
      </c>
      <c r="H194" s="3">
        <v>1451.1</v>
      </c>
      <c r="I194" s="3">
        <f t="array" ref="I194">MAX(IF(Sheet1!$A$1:$A$100=CONCATENATE("s.rule",A194,".tar.gz"), Sheet1!$E$1:$E$100))</f>
        <v>1480.7</v>
      </c>
      <c r="J194" s="3">
        <f>IFERROR(AVERAGEIF(Sheet1!$A$1:$A$100,CONCATENATE("s.rule",A194,".tar.gz"),Sheet1!$E$1:$E$100),"")</f>
        <v>1480.7</v>
      </c>
      <c r="K194" s="3">
        <f>COUNTIF(Sheet1!$A$1:$A$100,CONCATENATE("s.rule",A194,".tar.gz"))</f>
        <v>1</v>
      </c>
      <c r="L194" s="13">
        <f t="shared" si="55"/>
        <v>29.600000000000136</v>
      </c>
    </row>
    <row r="195" spans="1:12" s="2" customFormat="1" x14ac:dyDescent="0.3">
      <c r="A195" s="17" t="s">
        <v>399</v>
      </c>
      <c r="B195" s="10">
        <v>17</v>
      </c>
      <c r="C195" s="10">
        <v>17</v>
      </c>
      <c r="D195" s="10">
        <v>18</v>
      </c>
      <c r="E195" s="21">
        <v>42</v>
      </c>
      <c r="F195" s="2">
        <f t="shared" si="46"/>
        <v>94</v>
      </c>
      <c r="G195" s="7">
        <f t="shared" si="40"/>
        <v>0.88250000000000006</v>
      </c>
      <c r="H195" s="3"/>
      <c r="I195" s="3"/>
      <c r="J195" s="3"/>
      <c r="K195" s="3"/>
      <c r="L195" s="13"/>
    </row>
    <row r="196" spans="1:12" s="2" customFormat="1" x14ac:dyDescent="0.3">
      <c r="A196" s="17" t="s">
        <v>400</v>
      </c>
      <c r="B196" s="10">
        <v>14</v>
      </c>
      <c r="C196" s="10">
        <v>15</v>
      </c>
      <c r="D196" s="10">
        <v>15</v>
      </c>
      <c r="E196" s="21">
        <v>42</v>
      </c>
      <c r="F196" s="2">
        <f t="shared" si="46"/>
        <v>86</v>
      </c>
      <c r="G196" s="7">
        <f t="shared" si="40"/>
        <v>0.89249999999999996</v>
      </c>
      <c r="H196" s="3"/>
      <c r="I196" s="3"/>
      <c r="J196" s="3"/>
      <c r="K196" s="3"/>
      <c r="L196" s="13"/>
    </row>
    <row r="197" spans="1:12" s="2" customFormat="1" x14ac:dyDescent="0.3">
      <c r="A197" s="17" t="s">
        <v>401</v>
      </c>
      <c r="B197" s="10">
        <v>17</v>
      </c>
      <c r="C197" s="10">
        <v>17</v>
      </c>
      <c r="D197" s="10">
        <v>18</v>
      </c>
      <c r="E197" s="21">
        <v>42</v>
      </c>
      <c r="F197" s="2">
        <f t="shared" si="46"/>
        <v>94</v>
      </c>
      <c r="G197" s="7">
        <f t="shared" si="40"/>
        <v>0.88250000000000006</v>
      </c>
      <c r="H197" s="3">
        <v>1431.4</v>
      </c>
      <c r="I197" s="3">
        <f t="array" ref="I197">MAX(IF(Sheet1!$A$1:$A$100=CONCATENATE("s.rule",A197,".tar.gz"), Sheet1!$E$1:$E$100))</f>
        <v>1447.6</v>
      </c>
      <c r="J197" s="3">
        <f>IFERROR(AVERAGEIF(Sheet1!$A$1:$A$100,CONCATENATE("s.rule",A197,".tar.gz"),Sheet1!$E$1:$E$100),"")</f>
        <v>1447.6</v>
      </c>
      <c r="K197" s="3">
        <f>COUNTIF(Sheet1!$A$1:$A$100,CONCATENATE("s.rule",A197,".tar.gz"))</f>
        <v>1</v>
      </c>
      <c r="L197" s="13">
        <f t="shared" ref="L197" si="56">IF(I197&lt;&gt;"",I197-H197,"")</f>
        <v>16.199999999999818</v>
      </c>
    </row>
    <row r="198" spans="1:12" s="2" customFormat="1" x14ac:dyDescent="0.3">
      <c r="A198" s="20" t="s">
        <v>559</v>
      </c>
      <c r="B198" s="10">
        <v>20</v>
      </c>
      <c r="C198" s="10">
        <v>25</v>
      </c>
      <c r="D198" s="10">
        <v>23</v>
      </c>
      <c r="E198" s="21">
        <v>35</v>
      </c>
      <c r="F198" s="2">
        <f t="shared" si="46"/>
        <v>103</v>
      </c>
      <c r="G198" s="7">
        <f t="shared" si="40"/>
        <v>0.87124999999999997</v>
      </c>
      <c r="H198" s="3">
        <v>1501.8</v>
      </c>
      <c r="I198" s="3">
        <f t="array" ref="I198">MAX(IF(Sheet1!$A$1:$A$100=CONCATENATE("s.rule",A198,".tar.gz"), Sheet1!$E$1:$E$100))</f>
        <v>1502</v>
      </c>
      <c r="J198" s="3">
        <f>IFERROR(AVERAGEIF(Sheet1!$A$1:$A$100,CONCATENATE("s.rule",A198,".tar.gz"),Sheet1!$E$1:$E$100),"")</f>
        <v>1502</v>
      </c>
      <c r="K198" s="3">
        <f>COUNTIF(Sheet1!$A$1:$A$100,CONCATENATE("s.rule",A198,".tar.gz"))</f>
        <v>1</v>
      </c>
      <c r="L198" s="13">
        <f t="shared" si="52"/>
        <v>0.20000000000004547</v>
      </c>
    </row>
    <row r="199" spans="1:12" s="2" customFormat="1" x14ac:dyDescent="0.3">
      <c r="A199" s="20" t="s">
        <v>562</v>
      </c>
      <c r="B199" s="10">
        <v>18</v>
      </c>
      <c r="C199" s="10">
        <v>24</v>
      </c>
      <c r="D199" s="10">
        <v>21</v>
      </c>
      <c r="E199" s="22">
        <v>42</v>
      </c>
      <c r="F199" s="2">
        <f t="shared" si="46"/>
        <v>105</v>
      </c>
      <c r="G199" s="7">
        <f t="shared" ref="G199:G206" si="57">1- F199/800</f>
        <v>0.86875000000000002</v>
      </c>
      <c r="H199" s="3">
        <v>1450</v>
      </c>
      <c r="I199" s="3">
        <f t="array" ref="I199">MAX(IF(Sheet1!$A$1:$A$100=CONCATENATE("s.rule",A199,".tar.gz"), Sheet1!$E$1:$E$100))</f>
        <v>1481.5</v>
      </c>
      <c r="J199" s="3">
        <f>IFERROR(AVERAGEIF(Sheet1!$A$1:$A$100,CONCATENATE("s.rule",A199,".tar.gz"),Sheet1!$E$1:$E$100),"")</f>
        <v>1481.5</v>
      </c>
      <c r="K199" s="3">
        <f>COUNTIF(Sheet1!$A$1:$A$100,CONCATENATE("s.rule",A199,".tar.gz"))</f>
        <v>1</v>
      </c>
      <c r="L199" s="13">
        <f t="shared" ref="L199:L200" si="58">IF(I199&lt;&gt;"",I199-H199,"")</f>
        <v>31.5</v>
      </c>
    </row>
    <row r="200" spans="1:12" s="2" customFormat="1" x14ac:dyDescent="0.3">
      <c r="A200" s="24" t="s">
        <v>669</v>
      </c>
      <c r="B200" s="10">
        <v>24</v>
      </c>
      <c r="C200" s="10">
        <v>19</v>
      </c>
      <c r="D200" s="10">
        <v>18</v>
      </c>
      <c r="E200" s="22">
        <v>46</v>
      </c>
      <c r="F200" s="2">
        <f t="shared" si="46"/>
        <v>107</v>
      </c>
      <c r="G200" s="7">
        <f t="shared" si="57"/>
        <v>0.86624999999999996</v>
      </c>
      <c r="H200" s="3">
        <v>1478.2</v>
      </c>
      <c r="I200" s="3">
        <f t="array" ref="I200">MAX(IF(Sheet1!$A$1:$A$100=CONCATENATE("s.rule",A200,".tar.gz"), Sheet1!$E$1:$E$100))</f>
        <v>1477.3</v>
      </c>
      <c r="J200" s="3">
        <f>IFERROR(AVERAGEIF(Sheet1!$A$1:$A$100,CONCATENATE("s.rule",A200,".tar.gz"),Sheet1!$E$1:$E$100),"")</f>
        <v>1477.3</v>
      </c>
      <c r="K200" s="3">
        <f>COUNTIF(Sheet1!$A$1:$A$100,CONCATENATE("s.rule",A200,".tar.gz"))</f>
        <v>1</v>
      </c>
      <c r="L200" s="13">
        <f t="shared" si="58"/>
        <v>-0.90000000000009095</v>
      </c>
    </row>
    <row r="201" spans="1:12" s="2" customFormat="1" x14ac:dyDescent="0.3">
      <c r="A201" s="24" t="s">
        <v>672</v>
      </c>
      <c r="B201" s="10">
        <v>14</v>
      </c>
      <c r="C201" s="10">
        <v>27</v>
      </c>
      <c r="D201" s="10">
        <v>19</v>
      </c>
      <c r="E201" s="22">
        <v>43</v>
      </c>
      <c r="F201" s="2">
        <f t="shared" si="46"/>
        <v>103</v>
      </c>
      <c r="G201" s="7">
        <f t="shared" si="57"/>
        <v>0.87124999999999997</v>
      </c>
      <c r="H201" s="3"/>
      <c r="I201" s="3"/>
      <c r="J201" s="3" t="str">
        <f>IFERROR(AVERAGEIF(Sheet1!$A$1:$A$100,CONCATENATE("s.rule",A201,".tar.gz"),Sheet1!$E$1:$E$100),"")</f>
        <v/>
      </c>
      <c r="K201" s="3"/>
      <c r="L201" s="13" t="str">
        <f t="shared" ref="L201" si="59">IF(I201&lt;&gt;"",I201-H201,"")</f>
        <v/>
      </c>
    </row>
    <row r="202" spans="1:12" s="2" customFormat="1" x14ac:dyDescent="0.3">
      <c r="A202" s="24" t="s">
        <v>675</v>
      </c>
      <c r="B202" s="10">
        <v>14</v>
      </c>
      <c r="C202" s="10">
        <v>20</v>
      </c>
      <c r="D202" s="10">
        <v>22</v>
      </c>
      <c r="E202" s="22">
        <v>49</v>
      </c>
      <c r="F202" s="2">
        <f t="shared" si="46"/>
        <v>105</v>
      </c>
      <c r="G202" s="7">
        <f t="shared" si="57"/>
        <v>0.86875000000000002</v>
      </c>
      <c r="H202" s="3"/>
      <c r="I202" s="3"/>
      <c r="J202" s="3"/>
      <c r="K202" s="3"/>
      <c r="L202" s="13"/>
    </row>
    <row r="203" spans="1:12" s="2" customFormat="1" x14ac:dyDescent="0.3">
      <c r="A203" s="24" t="s">
        <v>676</v>
      </c>
      <c r="B203" s="2">
        <v>11</v>
      </c>
      <c r="C203" s="2">
        <v>1</v>
      </c>
      <c r="D203" s="2">
        <v>18</v>
      </c>
      <c r="E203" s="22">
        <v>41</v>
      </c>
      <c r="F203" s="2">
        <f t="shared" ref="F203" si="60">SUM(B203:E203)</f>
        <v>71</v>
      </c>
      <c r="G203" s="7">
        <f t="shared" si="57"/>
        <v>0.91125</v>
      </c>
      <c r="H203" s="3"/>
      <c r="I203" s="3"/>
      <c r="J203" s="3"/>
      <c r="K203" s="3"/>
      <c r="L203" s="13"/>
    </row>
    <row r="204" spans="1:12" s="2" customFormat="1" x14ac:dyDescent="0.3">
      <c r="A204" s="24" t="s">
        <v>678</v>
      </c>
      <c r="B204" s="2">
        <v>9</v>
      </c>
      <c r="C204" s="2">
        <v>19</v>
      </c>
      <c r="D204" s="2">
        <v>15</v>
      </c>
      <c r="E204" s="22">
        <v>45</v>
      </c>
      <c r="F204" s="2">
        <f t="shared" si="46"/>
        <v>88</v>
      </c>
      <c r="G204" s="7">
        <f t="shared" si="57"/>
        <v>0.89</v>
      </c>
      <c r="H204" s="3"/>
      <c r="I204" s="3"/>
      <c r="J204" s="3"/>
      <c r="K204" s="3"/>
      <c r="L204" s="13"/>
    </row>
    <row r="205" spans="1:12" s="2" customFormat="1" x14ac:dyDescent="0.3">
      <c r="A205" s="24" t="s">
        <v>679</v>
      </c>
      <c r="B205" s="2">
        <v>14</v>
      </c>
      <c r="C205" s="2">
        <v>13</v>
      </c>
      <c r="D205" s="2">
        <v>16</v>
      </c>
      <c r="E205" s="22">
        <v>41</v>
      </c>
      <c r="F205" s="2">
        <f t="shared" si="46"/>
        <v>84</v>
      </c>
      <c r="G205" s="7">
        <f t="shared" si="57"/>
        <v>0.89500000000000002</v>
      </c>
      <c r="H205" s="3"/>
      <c r="I205" s="3"/>
      <c r="J205" s="3"/>
      <c r="K205" s="3"/>
      <c r="L205" s="13"/>
    </row>
    <row r="206" spans="1:12" s="2" customFormat="1" x14ac:dyDescent="0.3">
      <c r="A206" s="24" t="s">
        <v>682</v>
      </c>
      <c r="B206" s="2">
        <v>15</v>
      </c>
      <c r="C206" s="2">
        <v>22</v>
      </c>
      <c r="D206" s="2">
        <v>16</v>
      </c>
      <c r="E206" s="22">
        <v>36</v>
      </c>
      <c r="F206" s="2">
        <f t="shared" si="46"/>
        <v>89</v>
      </c>
      <c r="G206" s="7">
        <f t="shared" si="57"/>
        <v>0.88875000000000004</v>
      </c>
      <c r="H206" s="3">
        <v>1507.5</v>
      </c>
      <c r="I206" s="3">
        <f t="array" ref="I206">MAX(IF(Sheet1!$A$1:$A$100=CONCATENATE("s.rule",A206,".tar.gz"), Sheet1!$E$1:$E$100))</f>
        <v>1508.9</v>
      </c>
      <c r="J206" s="3">
        <f>IFERROR(AVERAGEIF(Sheet1!$A$1:$A$100,CONCATENATE("s.rule",A206,".tar.gz"),Sheet1!$E$1:$E$100),"")</f>
        <v>1508.9</v>
      </c>
      <c r="K206" s="3">
        <f>COUNTIF(Sheet1!$A$1:$A$100,CONCATENATE("s.rule",A206,".tar.gz"))</f>
        <v>1</v>
      </c>
      <c r="L206" s="13">
        <f t="shared" ref="L206" si="61">IF(I206&lt;&gt;"",I206-H206,"")</f>
        <v>1.4000000000000909</v>
      </c>
    </row>
    <row r="207" spans="1:12" s="2" customFormat="1" x14ac:dyDescent="0.3">
      <c r="A207" s="4"/>
      <c r="E207" s="22"/>
      <c r="H207" s="3"/>
      <c r="I207" s="3"/>
      <c r="J207" s="3" t="str">
        <f>IFERROR(AVERAGEIF(Sheet1!$A$1:$A$100,CONCATENATE("s.rule",A207,".tar.gz"),Sheet1!$E$1:$E$100),"")</f>
        <v/>
      </c>
      <c r="K207" s="3"/>
      <c r="L207" s="13"/>
    </row>
    <row r="208" spans="1:12" s="2" customFormat="1" x14ac:dyDescent="0.3">
      <c r="A208" s="9" t="s">
        <v>90</v>
      </c>
      <c r="B208" s="2">
        <v>41</v>
      </c>
      <c r="C208" s="2">
        <v>59</v>
      </c>
      <c r="D208" s="2">
        <v>59</v>
      </c>
      <c r="E208" s="22">
        <v>100</v>
      </c>
      <c r="F208" s="2">
        <f t="shared" si="46"/>
        <v>259</v>
      </c>
      <c r="G208" s="7">
        <f t="shared" si="40"/>
        <v>0.67625000000000002</v>
      </c>
      <c r="H208" s="3">
        <v>1347.7</v>
      </c>
      <c r="I208" s="3">
        <f t="array" ref="I208">MAX(IF(Sheet3!$A$1:$A$500=CONCATENATE("rule",A208,".tar.gz"), Sheet3!$B$1:$B$500))</f>
        <v>1347.7</v>
      </c>
      <c r="J208" s="3">
        <f>IFERROR(AVERAGEIF(Sheet3!$A$1:$A$500,CONCATENATE("rule",A208,".tar.gz"),Sheet3!$B$1:$B$500),"")</f>
        <v>1347.7</v>
      </c>
      <c r="K208" s="3">
        <v>1</v>
      </c>
      <c r="L208" s="13">
        <f>IF(I208&lt;&gt;"",I208-H208,"")</f>
        <v>0</v>
      </c>
    </row>
    <row r="209" spans="1:19" x14ac:dyDescent="0.3">
      <c r="A209" s="9" t="s">
        <v>86</v>
      </c>
      <c r="B209">
        <v>30</v>
      </c>
      <c r="C209" s="2">
        <v>41</v>
      </c>
      <c r="D209" s="2">
        <v>43</v>
      </c>
      <c r="E209" s="22">
        <v>70</v>
      </c>
      <c r="F209" s="2">
        <f t="shared" si="46"/>
        <v>184</v>
      </c>
      <c r="G209" s="7">
        <f t="shared" si="40"/>
        <v>0.77</v>
      </c>
      <c r="S209" s="2"/>
    </row>
    <row r="210" spans="1:19" x14ac:dyDescent="0.3">
      <c r="A210" s="9" t="s">
        <v>87</v>
      </c>
      <c r="B210">
        <v>29</v>
      </c>
      <c r="C210" s="2">
        <v>41</v>
      </c>
      <c r="D210" s="2">
        <v>40</v>
      </c>
      <c r="E210" s="22">
        <v>71</v>
      </c>
      <c r="F210" s="2">
        <f t="shared" si="46"/>
        <v>181</v>
      </c>
      <c r="G210" s="7">
        <f t="shared" ref="G210:G220" si="62">1- F210/800</f>
        <v>0.77374999999999994</v>
      </c>
      <c r="Q210" s="2"/>
    </row>
    <row r="211" spans="1:19" x14ac:dyDescent="0.3">
      <c r="A211" s="9" t="s">
        <v>88</v>
      </c>
      <c r="B211">
        <v>30</v>
      </c>
      <c r="C211" s="2">
        <v>39</v>
      </c>
      <c r="D211" s="2">
        <v>43</v>
      </c>
      <c r="E211" s="22">
        <v>72</v>
      </c>
      <c r="F211" s="2">
        <f t="shared" si="46"/>
        <v>184</v>
      </c>
      <c r="G211" s="7">
        <f t="shared" si="62"/>
        <v>0.77</v>
      </c>
    </row>
    <row r="212" spans="1:19" x14ac:dyDescent="0.3">
      <c r="A212" s="9" t="s">
        <v>89</v>
      </c>
      <c r="B212">
        <v>28</v>
      </c>
      <c r="C212" s="2">
        <v>35</v>
      </c>
      <c r="D212" s="2">
        <v>40</v>
      </c>
      <c r="E212" s="22">
        <v>63</v>
      </c>
      <c r="F212" s="2">
        <f t="shared" si="46"/>
        <v>166</v>
      </c>
      <c r="G212" s="7">
        <f t="shared" si="62"/>
        <v>0.79249999999999998</v>
      </c>
      <c r="H212" s="3">
        <v>1429.6</v>
      </c>
      <c r="I212" s="3">
        <f t="array" ref="I212">MAX(IF(Sheet3!$A$1:$A$500=CONCATENATE("s.rule",A212,".tar.gz"), Sheet3!$B$1:$B$500))</f>
        <v>1429.6</v>
      </c>
      <c r="J212" s="3">
        <f>IFERROR(AVERAGEIF(Sheet3!$A$1:$A$500,CONCATENATE("s.rule",A212,".tar.gz"),Sheet3!$B$1:$B$500),"")</f>
        <v>1429.6</v>
      </c>
      <c r="K212" s="19">
        <f>COUNTIF(Sheet3!$A$1:$A$100,CONCATENATE("s.rule",A212,".tar.gz"))</f>
        <v>1</v>
      </c>
      <c r="L212" s="13">
        <f t="shared" ref="L212:L218" si="63">IF(I212&lt;&gt;"",I212-H212,"")</f>
        <v>0</v>
      </c>
    </row>
    <row r="213" spans="1:19" x14ac:dyDescent="0.3">
      <c r="A213" s="9" t="s">
        <v>94</v>
      </c>
      <c r="B213">
        <v>16</v>
      </c>
      <c r="C213" s="2">
        <v>29</v>
      </c>
      <c r="D213" s="2">
        <v>38</v>
      </c>
      <c r="E213" s="22">
        <v>52</v>
      </c>
      <c r="F213" s="2">
        <f t="shared" si="46"/>
        <v>135</v>
      </c>
      <c r="G213" s="7">
        <f t="shared" si="62"/>
        <v>0.83125000000000004</v>
      </c>
      <c r="H213" s="3">
        <v>1488.8</v>
      </c>
      <c r="I213" s="3">
        <f t="array" ref="I213">MAX(IF(Sheet3!$A$1:$A$500=CONCATENATE("s.rule",A213,".tar.gz"), Sheet3!$B$1:$B$500))</f>
        <v>1488.8</v>
      </c>
      <c r="J213" s="3">
        <f>IFERROR(AVERAGEIF(Sheet3!$A$1:$A$500,CONCATENATE("s.rule",A213,".tar.gz"),Sheet3!$B$1:$B$500),"")</f>
        <v>1488.8</v>
      </c>
      <c r="K213" s="19">
        <f>COUNTIF(Sheet3!$A$1:$A$100,CONCATENATE("s.rule",A213,".tar.gz"))</f>
        <v>1</v>
      </c>
      <c r="L213" s="13">
        <f t="shared" si="63"/>
        <v>0</v>
      </c>
    </row>
    <row r="214" spans="1:19" x14ac:dyDescent="0.3">
      <c r="A214" s="9" t="s">
        <v>99</v>
      </c>
      <c r="B214">
        <v>20</v>
      </c>
      <c r="C214" s="2">
        <v>23</v>
      </c>
      <c r="D214" s="2">
        <v>35</v>
      </c>
      <c r="E214" s="22">
        <v>54</v>
      </c>
      <c r="F214" s="2">
        <f t="shared" si="46"/>
        <v>132</v>
      </c>
      <c r="G214" s="7">
        <f t="shared" si="62"/>
        <v>0.83499999999999996</v>
      </c>
      <c r="H214" s="3">
        <v>1460.6</v>
      </c>
      <c r="I214" s="3">
        <f t="array" ref="I214">MAX(IF(Sheet3!$A$1:$A$500=CONCATENATE("s.rule",A214,".tar.gz"), Sheet3!$B$1:$B$500))</f>
        <v>1460.6</v>
      </c>
      <c r="J214" s="3">
        <f>IFERROR(AVERAGEIF(Sheet3!$A$1:$A$500,CONCATENATE("s.rule",A214,".tar.gz"),Sheet3!$B$1:$B$500),"")</f>
        <v>1460.6</v>
      </c>
      <c r="K214" s="19">
        <f>COUNTIF(Sheet3!$A$1:$A$100,CONCATENATE("s.rule",A214,".tar.gz"))</f>
        <v>1</v>
      </c>
      <c r="L214" s="13">
        <f t="shared" si="63"/>
        <v>0</v>
      </c>
    </row>
    <row r="215" spans="1:19" x14ac:dyDescent="0.3">
      <c r="A215" s="12" t="s">
        <v>151</v>
      </c>
      <c r="B215">
        <v>18</v>
      </c>
      <c r="C215" s="2">
        <v>25</v>
      </c>
      <c r="D215" s="2">
        <v>30</v>
      </c>
      <c r="E215" s="22">
        <v>46</v>
      </c>
      <c r="F215" s="2">
        <f t="shared" si="46"/>
        <v>119</v>
      </c>
      <c r="G215" s="7">
        <f t="shared" si="62"/>
        <v>0.85125000000000006</v>
      </c>
      <c r="H215" s="3">
        <v>1521.3</v>
      </c>
      <c r="I215" s="3">
        <f t="array" ref="I215">MAX(IF(Sheet3!$A$1:$A$500=CONCATENATE("s.rule",A215,".tar.gz"), Sheet3!$B$1:$B$500))</f>
        <v>1521.3</v>
      </c>
      <c r="J215" s="3">
        <f>IFERROR(AVERAGEIF(Sheet3!$A$1:$A$500,CONCATENATE("s.rule",A215,".tar.gz"),Sheet3!$B$1:$B$500),"")</f>
        <v>1521.3</v>
      </c>
      <c r="K215" s="19">
        <f>COUNTIF(Sheet3!$A$1:$A$100,CONCATENATE("s.rule",A215,".tar.gz"))</f>
        <v>1</v>
      </c>
      <c r="L215" s="13">
        <f t="shared" si="63"/>
        <v>0</v>
      </c>
    </row>
    <row r="216" spans="1:19" x14ac:dyDescent="0.3">
      <c r="A216" s="17" t="s">
        <v>385</v>
      </c>
      <c r="B216">
        <v>16</v>
      </c>
      <c r="C216" s="2">
        <v>19</v>
      </c>
      <c r="D216" s="2">
        <v>29</v>
      </c>
      <c r="E216" s="21">
        <v>35</v>
      </c>
      <c r="F216" s="2">
        <f t="shared" si="46"/>
        <v>99</v>
      </c>
      <c r="G216" s="7">
        <f t="shared" si="62"/>
        <v>0.87624999999999997</v>
      </c>
      <c r="H216" s="3">
        <v>1516</v>
      </c>
      <c r="I216" s="3">
        <f t="array" ref="I216">MAX(IF(Sheet1!$A$1:$A$100=CONCATENATE("s.rule",A216,".tar.gz"), Sheet1!$E$1:$E$100))</f>
        <v>1533.9</v>
      </c>
      <c r="J216" s="3">
        <f>IFERROR(AVERAGEIF(Sheet1!$A$1:$A$100,CONCATENATE("s.rule",A216,".tar.gz"),Sheet1!$E$1:$E$100),"")</f>
        <v>1533.9</v>
      </c>
      <c r="K216" s="3">
        <f>COUNTIF(Sheet1!$A$1:$A$100,CONCATENATE("s.rule",A216,".tar.gz"))</f>
        <v>1</v>
      </c>
      <c r="L216" s="13">
        <f t="shared" si="63"/>
        <v>17.900000000000091</v>
      </c>
    </row>
    <row r="217" spans="1:19" x14ac:dyDescent="0.3">
      <c r="A217" s="17" t="s">
        <v>396</v>
      </c>
      <c r="B217">
        <v>15</v>
      </c>
      <c r="C217" s="2">
        <v>16</v>
      </c>
      <c r="D217" s="2">
        <v>20</v>
      </c>
      <c r="E217" s="22">
        <v>37</v>
      </c>
      <c r="F217" s="2">
        <f t="shared" si="46"/>
        <v>88</v>
      </c>
      <c r="G217" s="7">
        <f t="shared" si="62"/>
        <v>0.89</v>
      </c>
      <c r="H217" s="3">
        <v>1572.7</v>
      </c>
      <c r="I217" s="3">
        <f t="array" ref="I217">MAX(IF(Sheet1!$A$1:$A$100=CONCATENATE("s.rule",A217,".tar.gz"), Sheet1!$E$1:$E$100))</f>
        <v>1564.4</v>
      </c>
      <c r="J217" s="3">
        <f>IFERROR(AVERAGEIF(Sheet1!$A$1:$A$100,CONCATENATE("s.rule",A217,".tar.gz"),Sheet1!$E$1:$E$100),"")</f>
        <v>1564.4</v>
      </c>
      <c r="K217" s="3">
        <f>COUNTIF(Sheet1!$A$1:$A$100,CONCATENATE("s.rule",A217,".tar.gz"))</f>
        <v>1</v>
      </c>
      <c r="L217" s="13">
        <f t="shared" si="63"/>
        <v>-8.2999999999999545</v>
      </c>
    </row>
    <row r="218" spans="1:19" x14ac:dyDescent="0.3">
      <c r="A218" s="17" t="s">
        <v>398</v>
      </c>
      <c r="B218" s="2">
        <v>21</v>
      </c>
      <c r="C218" s="2">
        <v>18</v>
      </c>
      <c r="D218" s="2">
        <v>21</v>
      </c>
      <c r="E218" s="21">
        <v>31</v>
      </c>
      <c r="F218" s="2">
        <f t="shared" si="46"/>
        <v>91</v>
      </c>
      <c r="G218" s="7">
        <f t="shared" si="62"/>
        <v>0.88624999999999998</v>
      </c>
      <c r="H218" s="3">
        <v>1546.1</v>
      </c>
      <c r="I218" s="3">
        <f t="array" ref="I218">MAX(IF(Sheet1!$A$1:$A$100=CONCATENATE("s.rule",A218,".tar.gz"), Sheet1!$E$1:$E$100))</f>
        <v>1532.9</v>
      </c>
      <c r="J218" s="3">
        <f>IFERROR(AVERAGEIF(Sheet1!$A$1:$A$100,CONCATENATE("s.rule",A218,".tar.gz"),Sheet1!$E$1:$E$100),"")</f>
        <v>1532.9</v>
      </c>
      <c r="K218" s="3">
        <f>COUNTIF(Sheet1!$A$1:$A$100,CONCATENATE("s.rule",A218,".tar.gz"))</f>
        <v>1</v>
      </c>
      <c r="L218" s="13">
        <f t="shared" si="63"/>
        <v>-13.199999999999818</v>
      </c>
    </row>
    <row r="219" spans="1:19" x14ac:dyDescent="0.3">
      <c r="A219" s="20" t="s">
        <v>560</v>
      </c>
      <c r="B219">
        <v>25</v>
      </c>
      <c r="C219" s="2">
        <v>27</v>
      </c>
      <c r="D219" s="2">
        <v>44</v>
      </c>
      <c r="E219" s="22">
        <v>56</v>
      </c>
      <c r="F219" s="2">
        <f t="shared" si="46"/>
        <v>152</v>
      </c>
      <c r="G219" s="7">
        <f t="shared" si="62"/>
        <v>0.81</v>
      </c>
      <c r="H219" s="3">
        <v>1503.4</v>
      </c>
      <c r="I219" s="3">
        <f t="array" ref="I219">MAX(IF(Sheet1!$A$1:$A$100=CONCATENATE("s.rule",A219,".tar.gz"), Sheet1!$E$1:$E$100))</f>
        <v>1537.4</v>
      </c>
      <c r="J219" s="3">
        <f>IFERROR(AVERAGEIF(Sheet1!$A$1:$A$100,CONCATENATE("s.rule",A219,".tar.gz"),Sheet1!$E$1:$E$100),"")</f>
        <v>1537.4</v>
      </c>
      <c r="K219" s="3">
        <f>COUNTIF(Sheet1!$A$1:$A$100,CONCATENATE("s.rule",A219,".tar.gz"))</f>
        <v>1</v>
      </c>
      <c r="L219" s="13">
        <f t="shared" ref="L219:L220" si="64">IF(I219&lt;&gt;"",I219-H219,"")</f>
        <v>34</v>
      </c>
    </row>
    <row r="220" spans="1:19" x14ac:dyDescent="0.3">
      <c r="A220" s="20" t="s">
        <v>561</v>
      </c>
      <c r="B220">
        <v>25</v>
      </c>
      <c r="C220" s="2">
        <v>31</v>
      </c>
      <c r="D220" s="2">
        <v>32</v>
      </c>
      <c r="E220" s="22">
        <v>49</v>
      </c>
      <c r="F220" s="2">
        <f t="shared" si="46"/>
        <v>137</v>
      </c>
      <c r="G220" s="7">
        <f t="shared" si="62"/>
        <v>0.82874999999999999</v>
      </c>
      <c r="H220" s="3">
        <v>1492.8</v>
      </c>
      <c r="I220" s="3">
        <f t="array" ref="I220">MAX(IF(Sheet1!$A$1:$A$100=CONCATENATE("s.rule",A220,".tar.gz"), Sheet1!$E$1:$E$100))</f>
        <v>1512.3</v>
      </c>
      <c r="J220" s="3">
        <f>IFERROR(AVERAGEIF(Sheet1!$A$1:$A$100,CONCATENATE("s.rule",A220,".tar.gz"),Sheet1!$E$1:$E$100),"")</f>
        <v>1512.3</v>
      </c>
      <c r="K220" s="3">
        <f>COUNTIF(Sheet1!$A$1:$A$100,CONCATENATE("s.rule",A220,".tar.gz"))</f>
        <v>1</v>
      </c>
      <c r="L220" s="13">
        <f t="shared" si="64"/>
        <v>19.5</v>
      </c>
    </row>
    <row r="221" spans="1:19" x14ac:dyDescent="0.3">
      <c r="A221" s="17" t="s">
        <v>568</v>
      </c>
      <c r="B221">
        <v>26</v>
      </c>
      <c r="C221" s="2">
        <v>13</v>
      </c>
      <c r="D221" s="2">
        <v>33</v>
      </c>
      <c r="E221" s="22">
        <v>48</v>
      </c>
      <c r="F221" s="2">
        <f t="shared" si="46"/>
        <v>120</v>
      </c>
      <c r="G221" s="7">
        <f t="shared" ref="G221:G224" si="65">1- F221/800</f>
        <v>0.85</v>
      </c>
      <c r="H221" s="3">
        <v>1467.7</v>
      </c>
      <c r="I221" s="3">
        <f t="array" ref="I221">MAX(IF(Sheet1!$A$1:$A$100=CONCATENATE("s.rule",A221,".tar.gz"), Sheet1!$E$1:$E$100))</f>
        <v>1461.6</v>
      </c>
      <c r="J221" s="3">
        <f>IFERROR(AVERAGEIF(Sheet1!$A$1:$A$100,CONCATENATE("s.rule",A221,".tar.gz"),Sheet1!$E$1:$E$100),"")</f>
        <v>1461.6</v>
      </c>
      <c r="K221" s="3">
        <f>COUNTIF(Sheet1!$A$1:$A$100,CONCATENATE("s.rule",A221,".tar.gz"))</f>
        <v>1</v>
      </c>
      <c r="L221" s="13">
        <f t="shared" ref="L221:L222" si="66">IF(I221&lt;&gt;"",I221-H221,"")</f>
        <v>-6.1000000000001364</v>
      </c>
    </row>
    <row r="222" spans="1:19" s="2" customFormat="1" x14ac:dyDescent="0.3">
      <c r="A222" s="24" t="s">
        <v>668</v>
      </c>
      <c r="B222" s="2">
        <v>44</v>
      </c>
      <c r="C222" s="2">
        <v>64</v>
      </c>
      <c r="D222" s="2">
        <v>39</v>
      </c>
      <c r="E222" s="22">
        <v>92</v>
      </c>
      <c r="F222" s="2">
        <f t="shared" si="46"/>
        <v>239</v>
      </c>
      <c r="G222" s="7">
        <f t="shared" si="65"/>
        <v>0.70124999999999993</v>
      </c>
      <c r="H222" s="3">
        <v>1344.1</v>
      </c>
      <c r="I222" s="3">
        <f t="array" ref="I222">MAX(IF(Sheet1!$A$1:$A$100=CONCATENATE("s.rule",A222,".tar.gz"), Sheet1!$E$1:$E$100))</f>
        <v>1350.3</v>
      </c>
      <c r="J222" s="3">
        <f>IFERROR(AVERAGEIF(Sheet1!$A$1:$A$100,CONCATENATE("s.rule",A222,".tar.gz"),Sheet1!$E$1:$E$100),"")</f>
        <v>1350.3</v>
      </c>
      <c r="K222" s="3">
        <f>COUNTIF(Sheet1!$A$1:$A$100,CONCATENATE("s.rule",A222,".tar.gz"))</f>
        <v>1</v>
      </c>
      <c r="L222" s="13">
        <f t="shared" si="66"/>
        <v>6.2000000000000455</v>
      </c>
    </row>
    <row r="223" spans="1:19" x14ac:dyDescent="0.3">
      <c r="A223" s="24" t="s">
        <v>673</v>
      </c>
      <c r="B223">
        <v>45</v>
      </c>
      <c r="C223" s="2">
        <v>50</v>
      </c>
      <c r="D223" s="2">
        <v>37</v>
      </c>
      <c r="E223" s="22">
        <v>94</v>
      </c>
      <c r="F223" s="2">
        <f t="shared" si="46"/>
        <v>226</v>
      </c>
      <c r="G223" s="7">
        <f t="shared" si="65"/>
        <v>0.71750000000000003</v>
      </c>
      <c r="L223" s="13" t="str">
        <f t="shared" ref="L223" si="67">IF(I223&lt;&gt;"",I223-H223,"")</f>
        <v/>
      </c>
    </row>
    <row r="224" spans="1:19" x14ac:dyDescent="0.3">
      <c r="A224" s="24" t="s">
        <v>674</v>
      </c>
      <c r="B224">
        <v>25</v>
      </c>
      <c r="C224" s="2">
        <v>22</v>
      </c>
      <c r="D224" s="2">
        <v>24</v>
      </c>
      <c r="E224" s="22">
        <v>47</v>
      </c>
      <c r="F224" s="2">
        <f t="shared" si="46"/>
        <v>118</v>
      </c>
      <c r="G224" s="7">
        <f t="shared" si="65"/>
        <v>0.85250000000000004</v>
      </c>
    </row>
    <row r="225" spans="1:12" x14ac:dyDescent="0.3">
      <c r="A225" s="24" t="s">
        <v>677</v>
      </c>
      <c r="E225" s="22">
        <v>28</v>
      </c>
    </row>
    <row r="226" spans="1:12" s="2" customFormat="1" x14ac:dyDescent="0.3">
      <c r="A226" s="24" t="s">
        <v>680</v>
      </c>
      <c r="B226" s="2">
        <v>10</v>
      </c>
      <c r="C226" s="2">
        <v>9</v>
      </c>
      <c r="D226" s="2">
        <v>9</v>
      </c>
      <c r="E226" s="22">
        <v>19</v>
      </c>
      <c r="F226" s="2">
        <f t="shared" ref="F226:F227" si="68">SUM(B226:E226)</f>
        <v>47</v>
      </c>
      <c r="G226" s="7">
        <f t="shared" ref="G226" si="69">1- F226/800</f>
        <v>0.94125000000000003</v>
      </c>
      <c r="H226" s="3">
        <v>1522</v>
      </c>
      <c r="I226" s="3">
        <f t="array" ref="I226">MAX(IF(Sheet1!$A$1:$A$100=CONCATENATE("s.rule",A226,".tar.gz"), Sheet1!$E$1:$E$100))</f>
        <v>1531.2</v>
      </c>
      <c r="J226" s="3">
        <f>IFERROR(AVERAGEIF(Sheet1!$A$1:$A$100,CONCATENATE("s.rule",A226,".tar.gz"),Sheet1!$E$1:$E$100),"")</f>
        <v>1531.2</v>
      </c>
      <c r="K226" s="3">
        <f>COUNTIF(Sheet1!$A$1:$A$100,CONCATENATE("s.rule",A226,".tar.gz"))</f>
        <v>1</v>
      </c>
      <c r="L226" s="13">
        <f t="shared" ref="L226" si="70">IF(I226&lt;&gt;"",I226-H226,"")</f>
        <v>9.2000000000000455</v>
      </c>
    </row>
    <row r="227" spans="1:12" s="2" customFormat="1" x14ac:dyDescent="0.3">
      <c r="A227" s="24" t="s">
        <v>694</v>
      </c>
      <c r="B227" s="2">
        <v>7</v>
      </c>
      <c r="C227" s="2">
        <v>10</v>
      </c>
      <c r="D227" s="2">
        <v>7</v>
      </c>
      <c r="E227" s="22">
        <v>17</v>
      </c>
      <c r="F227" s="2">
        <f t="shared" si="68"/>
        <v>41</v>
      </c>
      <c r="G227" s="7"/>
      <c r="H227" s="3"/>
      <c r="I227" s="3"/>
      <c r="J227" s="3"/>
      <c r="K227" s="3"/>
      <c r="L227" s="13"/>
    </row>
    <row r="228" spans="1:12" s="2" customFormat="1" x14ac:dyDescent="0.3">
      <c r="A228" s="24" t="s">
        <v>704</v>
      </c>
      <c r="D228" s="2">
        <v>8</v>
      </c>
      <c r="E228" s="22">
        <v>20</v>
      </c>
      <c r="F228" s="2">
        <f t="shared" ref="F228:F229" si="71">SUM(B228:E228)</f>
        <v>28</v>
      </c>
      <c r="G228" s="7"/>
      <c r="H228" s="3"/>
      <c r="I228" s="3"/>
      <c r="J228" s="3"/>
      <c r="K228" s="3"/>
      <c r="L228" s="13"/>
    </row>
    <row r="229" spans="1:12" s="2" customFormat="1" x14ac:dyDescent="0.3">
      <c r="A229" s="24" t="s">
        <v>697</v>
      </c>
      <c r="B229" s="2">
        <v>6</v>
      </c>
      <c r="C229" s="2">
        <v>5</v>
      </c>
      <c r="D229" s="2">
        <v>5</v>
      </c>
      <c r="E229" s="22">
        <v>16</v>
      </c>
      <c r="F229" s="2">
        <f t="shared" si="71"/>
        <v>32</v>
      </c>
      <c r="G229" s="7">
        <f t="shared" ref="G229" si="72">1- F229/800</f>
        <v>0.96</v>
      </c>
      <c r="H229" s="3"/>
      <c r="I229" s="3"/>
      <c r="J229" s="3"/>
      <c r="K229" s="3"/>
      <c r="L229" s="13"/>
    </row>
    <row r="230" spans="1:12" x14ac:dyDescent="0.3">
      <c r="A230" s="24" t="s">
        <v>698</v>
      </c>
      <c r="C230" s="2">
        <v>9</v>
      </c>
      <c r="E230" s="22">
        <v>21</v>
      </c>
      <c r="G230" s="7"/>
    </row>
    <row r="231" spans="1:12" s="2" customFormat="1" x14ac:dyDescent="0.3">
      <c r="A231" s="24" t="s">
        <v>700</v>
      </c>
      <c r="B231" s="2">
        <v>8</v>
      </c>
      <c r="C231" s="2">
        <v>7</v>
      </c>
      <c r="D231" s="2">
        <v>6</v>
      </c>
      <c r="E231" s="22">
        <v>10</v>
      </c>
      <c r="F231" s="2">
        <f t="shared" ref="F231:F232" si="73">SUM(B231:E231)</f>
        <v>31</v>
      </c>
      <c r="G231" s="7">
        <f t="shared" ref="G231:G232" si="74">1- F231/800</f>
        <v>0.96125000000000005</v>
      </c>
      <c r="H231" s="3">
        <v>1510.8</v>
      </c>
      <c r="I231" s="3">
        <f t="array" ref="I231">MAX(IF(Sheet1!$A$1:$A$100=CONCATENATE("s.rule",A231,".tar.gz"), Sheet1!$E$1:$E$100))</f>
        <v>1516.6</v>
      </c>
      <c r="J231" s="3">
        <f>IFERROR(AVERAGEIF(Sheet1!$A$1:$A$100,CONCATENATE("s.rule",A231,".tar.gz"),Sheet1!$E$1:$E$100),"")</f>
        <v>1516.6</v>
      </c>
      <c r="K231" s="3">
        <f>COUNTIF(Sheet1!$A$1:$A$100,CONCATENATE("s.rule",A231,".tar.gz"))</f>
        <v>1</v>
      </c>
      <c r="L231" s="13">
        <f t="shared" ref="L231" si="75">IF(I231&lt;&gt;"",I231-H231,"")</f>
        <v>5.7999999999999545</v>
      </c>
    </row>
    <row r="232" spans="1:12" s="2" customFormat="1" x14ac:dyDescent="0.3">
      <c r="A232" s="24" t="s">
        <v>701</v>
      </c>
      <c r="B232" s="2">
        <v>5</v>
      </c>
      <c r="C232" s="2">
        <v>7</v>
      </c>
      <c r="D232" s="2">
        <v>8</v>
      </c>
      <c r="E232" s="22">
        <v>19</v>
      </c>
      <c r="F232" s="2">
        <f t="shared" si="73"/>
        <v>39</v>
      </c>
      <c r="G232" s="7">
        <f t="shared" si="74"/>
        <v>0.95125000000000004</v>
      </c>
      <c r="H232" s="3"/>
      <c r="I232" s="3"/>
      <c r="J232" s="3"/>
      <c r="K232" s="3"/>
      <c r="L232" s="13"/>
    </row>
    <row r="233" spans="1:12" x14ac:dyDescent="0.3">
      <c r="A233" s="25" t="s">
        <v>681</v>
      </c>
      <c r="B233">
        <v>3</v>
      </c>
      <c r="C233" s="2">
        <v>2</v>
      </c>
      <c r="D233" s="2">
        <v>9</v>
      </c>
      <c r="E233" s="22">
        <v>15</v>
      </c>
      <c r="F233" s="2">
        <f t="shared" ref="F233" si="76">SUM(B233:E233)</f>
        <v>29</v>
      </c>
      <c r="G233" s="7">
        <f t="shared" ref="G233" si="77">1- F233/800</f>
        <v>0.96375</v>
      </c>
      <c r="H233" s="3">
        <v>1635.7</v>
      </c>
      <c r="I233" s="3">
        <f t="array" ref="I233">MAX(IF(Sheet1!$A$1:$A$100=CONCATENATE("s.rule",A233,".tar.gz"), Sheet1!$E$1:$E$100))</f>
        <v>1631.9</v>
      </c>
      <c r="J233" s="3">
        <f>IFERROR(AVERAGEIF(Sheet1!$A$1:$A$100,CONCATENATE("s.rule",A233,".tar.gz"),Sheet1!$E$1:$E$100),"")</f>
        <v>1631.9</v>
      </c>
      <c r="K233" s="3">
        <f>COUNTIF(Sheet1!$A$1:$A$100,CONCATENATE("s.rule",A233,".tar.gz"))</f>
        <v>1</v>
      </c>
      <c r="L233" s="13">
        <f t="shared" ref="L233" si="78">IF(I233&lt;&gt;"",I233-H233,"")</f>
        <v>-3.7999999999999545</v>
      </c>
    </row>
    <row r="234" spans="1:12" x14ac:dyDescent="0.3">
      <c r="A234" s="25" t="s">
        <v>686</v>
      </c>
      <c r="B234">
        <v>4</v>
      </c>
      <c r="C234" s="2">
        <v>3</v>
      </c>
      <c r="D234" s="2">
        <v>4</v>
      </c>
      <c r="E234" s="22">
        <v>6</v>
      </c>
      <c r="F234" s="2">
        <f t="shared" ref="F234" si="79">SUM(B234:E234)</f>
        <v>17</v>
      </c>
      <c r="G234" s="7">
        <f t="shared" ref="G234" si="80">1- F234/800</f>
        <v>0.97875000000000001</v>
      </c>
    </row>
    <row r="235" spans="1:12" x14ac:dyDescent="0.3">
      <c r="A235" s="25" t="s">
        <v>687</v>
      </c>
      <c r="B235">
        <v>4</v>
      </c>
      <c r="C235" s="2">
        <v>2</v>
      </c>
      <c r="D235" s="2">
        <v>8</v>
      </c>
      <c r="E235" s="22">
        <v>14</v>
      </c>
      <c r="F235" s="2">
        <f t="shared" ref="F235" si="81">SUM(B235:E235)</f>
        <v>28</v>
      </c>
      <c r="G235" s="7">
        <f t="shared" ref="G235" si="82">1- F235/800</f>
        <v>0.96499999999999997</v>
      </c>
    </row>
    <row r="236" spans="1:12" x14ac:dyDescent="0.3">
      <c r="A236" s="25" t="s">
        <v>688</v>
      </c>
      <c r="B236">
        <v>5</v>
      </c>
      <c r="C236" s="2">
        <v>4</v>
      </c>
      <c r="D236" s="2">
        <v>5</v>
      </c>
      <c r="E236" s="22">
        <v>7</v>
      </c>
      <c r="F236" s="2">
        <f t="shared" ref="F236" si="83">SUM(B236:E236)</f>
        <v>21</v>
      </c>
      <c r="G236" s="7">
        <f t="shared" ref="G236" si="84">1- F236/800</f>
        <v>0.97375</v>
      </c>
      <c r="H236" s="3">
        <v>1598</v>
      </c>
      <c r="I236" s="3">
        <f t="array" ref="I236">MAX(IF(Sheet1!$A$1:$A$100=CONCATENATE("s.rule",A236,".tar.gz"), Sheet1!$E$1:$E$100))</f>
        <v>1598</v>
      </c>
      <c r="J236" s="3">
        <f>IFERROR(AVERAGEIF(Sheet1!$A$1:$A$100,CONCATENATE("s.rule",A236,".tar.gz"),Sheet1!$E$1:$E$100),"")</f>
        <v>1598</v>
      </c>
      <c r="K236" s="3">
        <f>COUNTIF(Sheet1!$A$1:$A$100,CONCATENATE("s.rule",A236,".tar.gz"))</f>
        <v>1</v>
      </c>
      <c r="L236" s="13">
        <f t="shared" ref="L236" si="85">IF(I236&lt;&gt;"",I236-H236,"")</f>
        <v>0</v>
      </c>
    </row>
    <row r="237" spans="1:12" x14ac:dyDescent="0.3">
      <c r="A237" s="25" t="s">
        <v>691</v>
      </c>
      <c r="B237">
        <v>3</v>
      </c>
      <c r="C237" s="2">
        <v>4</v>
      </c>
      <c r="D237" s="2">
        <v>3</v>
      </c>
      <c r="E237" s="2">
        <v>5</v>
      </c>
      <c r="F237" s="2">
        <f>SUM(B237:E237)</f>
        <v>15</v>
      </c>
      <c r="G237" s="7">
        <f t="shared" ref="G237:G240" si="86">1- F237/800</f>
        <v>0.98124999999999996</v>
      </c>
      <c r="H237" s="3">
        <v>1616.6</v>
      </c>
      <c r="I237" s="3">
        <f t="array" ref="I237">MAX(IF(Sheet1!$A$1:$A$100=CONCATENATE("s.rule",A237,".tar.gz"), Sheet1!$E$1:$E$100))</f>
        <v>1620.6</v>
      </c>
      <c r="J237" s="3">
        <f>IFERROR(AVERAGEIF(Sheet1!$A$1:$A$100,CONCATENATE("s.rule",A237,".tar.gz"),Sheet1!$E$1:$E$100),"")</f>
        <v>1620.6</v>
      </c>
      <c r="K237" s="3">
        <f>COUNTIF(Sheet1!$A$1:$A$100,CONCATENATE("s.rule",A237,".tar.gz"))</f>
        <v>1</v>
      </c>
      <c r="L237" s="13">
        <f t="shared" ref="L237:L238" si="87">IF(I237&lt;&gt;"",I237-H237,"")</f>
        <v>4</v>
      </c>
    </row>
    <row r="238" spans="1:12" s="2" customFormat="1" x14ac:dyDescent="0.3">
      <c r="A238" s="25" t="s">
        <v>692</v>
      </c>
      <c r="B238" s="2">
        <v>2</v>
      </c>
      <c r="C238" s="2">
        <v>4</v>
      </c>
      <c r="D238" s="2">
        <v>3</v>
      </c>
      <c r="E238" s="22">
        <v>4</v>
      </c>
      <c r="F238" s="2">
        <f>SUM(B238:E238)</f>
        <v>13</v>
      </c>
      <c r="G238" s="7">
        <f t="shared" si="86"/>
        <v>0.98375000000000001</v>
      </c>
      <c r="H238" s="3">
        <v>1596.6</v>
      </c>
      <c r="I238" s="3">
        <f t="array" ref="I238">MAX(IF(Sheet1!$A$1:$A$100=CONCATENATE("s.rule",A238,".tar.gz"), Sheet1!$E$1:$E$100))</f>
        <v>1590.7</v>
      </c>
      <c r="J238" s="3">
        <f>IFERROR(AVERAGEIF(Sheet1!$A$1:$A$100,CONCATENATE("s.rule",A238,".tar.gz"),Sheet1!$E$1:$E$100),"")</f>
        <v>1590.7</v>
      </c>
      <c r="K238" s="3">
        <f>COUNTIF(Sheet1!$A$1:$A$100,CONCATENATE("s.rule",A238,".tar.gz"))</f>
        <v>1</v>
      </c>
      <c r="L238" s="13">
        <f t="shared" si="87"/>
        <v>-5.8999999999998636</v>
      </c>
    </row>
    <row r="239" spans="1:12" x14ac:dyDescent="0.3">
      <c r="A239" s="25" t="s">
        <v>695</v>
      </c>
      <c r="C239" s="2">
        <v>4</v>
      </c>
      <c r="E239" s="22">
        <v>8</v>
      </c>
      <c r="H239" s="3">
        <v>1607.1</v>
      </c>
      <c r="I239" s="3">
        <f t="array" ref="I239">MAX(IF(Sheet1!$A$1:$A$100=CONCATENATE("s.rule",A239,".tar.gz"), Sheet1!$E$1:$E$100))</f>
        <v>1604</v>
      </c>
      <c r="J239" s="3">
        <f>IFERROR(AVERAGEIF(Sheet1!$A$1:$A$100,CONCATENATE("s.rule",A239,".tar.gz"),Sheet1!$E$1:$E$100),"")</f>
        <v>1604</v>
      </c>
      <c r="K239" s="3">
        <f>COUNTIF(Sheet1!$A$1:$A$100,CONCATENATE("s.rule",A239,".tar.gz"))</f>
        <v>1</v>
      </c>
      <c r="L239" s="13">
        <f t="shared" ref="L239" si="88">IF(I239&lt;&gt;"",I239-H239,"")</f>
        <v>-3.0999999999999091</v>
      </c>
    </row>
    <row r="240" spans="1:12" x14ac:dyDescent="0.3">
      <c r="A240" s="25" t="s">
        <v>699</v>
      </c>
      <c r="B240">
        <v>2</v>
      </c>
      <c r="C240" s="2">
        <v>4</v>
      </c>
      <c r="D240" s="2">
        <v>3</v>
      </c>
      <c r="E240" s="22">
        <v>4</v>
      </c>
      <c r="F240" s="2">
        <f>SUM(B240:E240)</f>
        <v>13</v>
      </c>
      <c r="G240" s="7">
        <f t="shared" si="86"/>
        <v>0.98375000000000001</v>
      </c>
      <c r="H240" s="3">
        <v>1543.6</v>
      </c>
      <c r="I240" s="3">
        <f t="array" ref="I240">MAX(IF(Sheet1!$A$1:$A$100=CONCATENATE("s.rule",A240,".tar.gz"), Sheet1!$E$1:$E$100))</f>
        <v>1543.6</v>
      </c>
      <c r="J240" s="3">
        <f>IFERROR(AVERAGEIF(Sheet1!$A$1:$A$100,CONCATENATE("s.rule",A240,".tar.gz"),Sheet1!$E$1:$E$100),"")</f>
        <v>1543.6</v>
      </c>
      <c r="K240" s="3">
        <f>COUNTIF(Sheet1!$A$1:$A$100,CONCATENATE("s.rule",A240,".tar.gz"))</f>
        <v>1</v>
      </c>
      <c r="L240" s="13">
        <f t="shared" ref="L240:L243" si="89">IF(I240&lt;&gt;"",I240-H240,"")</f>
        <v>0</v>
      </c>
    </row>
    <row r="241" spans="1:12" s="2" customFormat="1" x14ac:dyDescent="0.3">
      <c r="A241" s="25" t="s">
        <v>702</v>
      </c>
      <c r="B241" s="2">
        <v>2</v>
      </c>
      <c r="C241" s="2">
        <v>1</v>
      </c>
      <c r="D241" s="2">
        <v>3</v>
      </c>
      <c r="E241" s="22">
        <v>7</v>
      </c>
      <c r="F241" s="2">
        <f>SUM(B241:E241)</f>
        <v>13</v>
      </c>
      <c r="G241" s="7">
        <f t="shared" ref="G241" si="90">1- F241/800</f>
        <v>0.98375000000000001</v>
      </c>
      <c r="H241" s="3">
        <v>1545.8</v>
      </c>
      <c r="I241" s="3">
        <f t="array" ref="I241">MAX(IF(Sheet1!$A$1:$A$100=CONCATENATE("s.rule",A241,".tar.gz"), Sheet1!$E$1:$E$100))</f>
        <v>1551.3</v>
      </c>
      <c r="J241" s="3">
        <f>IFERROR(AVERAGEIF(Sheet1!$A$1:$A$100,CONCATENATE("s.rule",A241,".tar.gz"),Sheet1!$E$1:$E$100),"")</f>
        <v>1551.3</v>
      </c>
      <c r="K241" s="3">
        <f>COUNTIF(Sheet1!$A$1:$A$100,CONCATENATE("s.rule",A241,".tar.gz"))</f>
        <v>1</v>
      </c>
      <c r="L241" s="13">
        <f t="shared" si="89"/>
        <v>5.5</v>
      </c>
    </row>
    <row r="242" spans="1:12" x14ac:dyDescent="0.3">
      <c r="A242" s="25" t="s">
        <v>705</v>
      </c>
      <c r="D242" s="2">
        <v>4</v>
      </c>
      <c r="E242" s="22">
        <v>8</v>
      </c>
      <c r="H242" s="3">
        <v>1559.2</v>
      </c>
      <c r="I242" s="3">
        <f t="array" ref="I242">MAX(IF(Sheet1!$A$1:$A$100=CONCATENATE("s.rule",A242,".tar.gz"), Sheet1!$E$1:$E$100))</f>
        <v>1559.2</v>
      </c>
      <c r="J242" s="3">
        <f>IFERROR(AVERAGEIF(Sheet1!$A$1:$A$100,CONCATENATE("s.rule",A242,".tar.gz"),Sheet1!$E$1:$E$100),"")</f>
        <v>1559.2</v>
      </c>
      <c r="K242" s="3">
        <f>COUNTIF(Sheet1!$A$1:$A$100,CONCATENATE("s.rule",A242,".tar.gz"))</f>
        <v>1</v>
      </c>
      <c r="L242" s="13">
        <f t="shared" si="89"/>
        <v>0</v>
      </c>
    </row>
    <row r="243" spans="1:12" x14ac:dyDescent="0.3">
      <c r="A243" s="25" t="s">
        <v>703</v>
      </c>
      <c r="D243" s="2">
        <v>4</v>
      </c>
      <c r="E243" s="22">
        <v>7</v>
      </c>
      <c r="H243" s="3">
        <v>1533</v>
      </c>
      <c r="I243" s="3">
        <f t="array" ref="I243">MAX(IF(Sheet1!$A$1:$A$100=CONCATENATE("s.rule",A243,".tar.gz"), Sheet1!$E$1:$E$100))</f>
        <v>1533</v>
      </c>
      <c r="J243" s="3">
        <f>IFERROR(AVERAGEIF(Sheet1!$A$1:$A$100,CONCATENATE("s.rule",A243,".tar.gz"),Sheet1!$E$1:$E$100),"")</f>
        <v>1533</v>
      </c>
      <c r="K243" s="3">
        <f>COUNTIF(Sheet1!$A$1:$A$100,CONCATENATE("s.rule",A243,".tar.gz"))</f>
        <v>1</v>
      </c>
      <c r="L243" s="13">
        <f t="shared" si="89"/>
        <v>0</v>
      </c>
    </row>
    <row r="244" spans="1:12" x14ac:dyDescent="0.3">
      <c r="K244" s="3">
        <f>COUNTIF(Sheet1!$A$1:$A$100,CONCATENATE("s.rule",A244,".tar.gz"))</f>
        <v>0</v>
      </c>
    </row>
  </sheetData>
  <conditionalFormatting sqref="L1 K207 K1:K2 K133 K118 K121 K123 K125:K129 K116 K102:K109 K98 K93 K86 K84 K79:K80 K76 K60:K62 K51:K52 K135:K144 K146:K158 K160:K163 K54 K46:K47 K40:K44 K38 K27:K33 K23:K24 K15 K13 K10 K4:K7 K245:K1048576 K209:K211 K216:K225 K233">
    <cfRule type="cellIs" dxfId="3758" priority="6774" operator="greaterThan">
      <formula>10000</formula>
    </cfRule>
    <cfRule type="cellIs" dxfId="3757" priority="6775" operator="greaterThanOrEqual">
      <formula>1500</formula>
    </cfRule>
    <cfRule type="cellIs" dxfId="3756" priority="6776" operator="greaterThanOrEqual">
      <formula>1450</formula>
    </cfRule>
    <cfRule type="cellIs" dxfId="3755" priority="6777" operator="greaterThan">
      <formula>1400</formula>
    </cfRule>
  </conditionalFormatting>
  <conditionalFormatting sqref="K148:K149">
    <cfRule type="cellIs" dxfId="3754" priority="6770" operator="greaterThan">
      <formula>10000</formula>
    </cfRule>
    <cfRule type="cellIs" dxfId="3753" priority="6771" operator="greaterThanOrEqual">
      <formula>1500</formula>
    </cfRule>
    <cfRule type="cellIs" dxfId="3752" priority="6772" operator="greaterThanOrEqual">
      <formula>1450</formula>
    </cfRule>
    <cfRule type="cellIs" dxfId="3751" priority="6773" operator="greaterThan">
      <formula>1400</formula>
    </cfRule>
  </conditionalFormatting>
  <conditionalFormatting sqref="L1 K207 K1:K2 K133 K118 K121 K123 K125:K129 K116 K102:K109 K98 K93 K86 K84 K79:K80 K76 K60:K62 K51:K52 K135:K144 K146:K158 K160:K163 K54 K46:K47 K40:K44 K38 K27:K33 K23:K24 K15 K13 K10 K4:K7 K245:K1048576 K209:K211 K216:K225 K233">
    <cfRule type="cellIs" dxfId="3750" priority="6765" operator="greaterThan">
      <formula>10000</formula>
    </cfRule>
    <cfRule type="cellIs" dxfId="3749" priority="6766" operator="greaterThanOrEqual">
      <formula>1500</formula>
    </cfRule>
    <cfRule type="cellIs" dxfId="3748" priority="6767" operator="greaterThanOrEqual">
      <formula>1475</formula>
    </cfRule>
    <cfRule type="cellIs" dxfId="3747" priority="6768" operator="greaterThanOrEqual">
      <formula>1450</formula>
    </cfRule>
    <cfRule type="cellIs" dxfId="3746" priority="6769" operator="greaterThanOrEqual">
      <formula>1400</formula>
    </cfRule>
  </conditionalFormatting>
  <conditionalFormatting sqref="K156">
    <cfRule type="cellIs" dxfId="3745" priority="6726" operator="greaterThan">
      <formula>10000</formula>
    </cfRule>
    <cfRule type="cellIs" dxfId="3744" priority="6727" operator="greaterThanOrEqual">
      <formula>1500</formula>
    </cfRule>
    <cfRule type="cellIs" dxfId="3743" priority="6728" operator="greaterThanOrEqual">
      <formula>1450</formula>
    </cfRule>
    <cfRule type="cellIs" dxfId="3742" priority="6729" operator="greaterThan">
      <formula>1400</formula>
    </cfRule>
  </conditionalFormatting>
  <conditionalFormatting sqref="K156">
    <cfRule type="cellIs" dxfId="3741" priority="6721" operator="greaterThan">
      <formula>10000</formula>
    </cfRule>
    <cfRule type="cellIs" dxfId="3740" priority="6722" operator="greaterThanOrEqual">
      <formula>1500</formula>
    </cfRule>
    <cfRule type="cellIs" dxfId="3739" priority="6723" operator="greaterThanOrEqual">
      <formula>1475</formula>
    </cfRule>
    <cfRule type="cellIs" dxfId="3738" priority="6724" operator="greaterThanOrEqual">
      <formula>1450</formula>
    </cfRule>
    <cfRule type="cellIs" dxfId="3737" priority="6725" operator="greaterThanOrEqual">
      <formula>1400</formula>
    </cfRule>
  </conditionalFormatting>
  <conditionalFormatting sqref="K157">
    <cfRule type="cellIs" dxfId="3736" priority="6717" operator="greaterThan">
      <formula>10000</formula>
    </cfRule>
    <cfRule type="cellIs" dxfId="3735" priority="6718" operator="greaterThanOrEqual">
      <formula>1500</formula>
    </cfRule>
    <cfRule type="cellIs" dxfId="3734" priority="6719" operator="greaterThanOrEqual">
      <formula>1450</formula>
    </cfRule>
    <cfRule type="cellIs" dxfId="3733" priority="6720" operator="greaterThan">
      <formula>1400</formula>
    </cfRule>
  </conditionalFormatting>
  <conditionalFormatting sqref="K157">
    <cfRule type="cellIs" dxfId="3732" priority="6712" operator="greaterThan">
      <formula>10000</formula>
    </cfRule>
    <cfRule type="cellIs" dxfId="3731" priority="6713" operator="greaterThanOrEqual">
      <formula>1500</formula>
    </cfRule>
    <cfRule type="cellIs" dxfId="3730" priority="6714" operator="greaterThanOrEqual">
      <formula>1475</formula>
    </cfRule>
    <cfRule type="cellIs" dxfId="3729" priority="6715" operator="greaterThanOrEqual">
      <formula>1450</formula>
    </cfRule>
    <cfRule type="cellIs" dxfId="3728" priority="6716" operator="greaterThanOrEqual">
      <formula>1400</formula>
    </cfRule>
  </conditionalFormatting>
  <conditionalFormatting sqref="K158">
    <cfRule type="cellIs" dxfId="3727" priority="6555" operator="greaterThan">
      <formula>10000</formula>
    </cfRule>
    <cfRule type="cellIs" dxfId="3726" priority="6556" operator="greaterThanOrEqual">
      <formula>1500</formula>
    </cfRule>
    <cfRule type="cellIs" dxfId="3725" priority="6557" operator="greaterThanOrEqual">
      <formula>1450</formula>
    </cfRule>
    <cfRule type="cellIs" dxfId="3724" priority="6558" operator="greaterThan">
      <formula>1400</formula>
    </cfRule>
  </conditionalFormatting>
  <conditionalFormatting sqref="K158">
    <cfRule type="cellIs" dxfId="3723" priority="6550" operator="greaterThan">
      <formula>10000</formula>
    </cfRule>
    <cfRule type="cellIs" dxfId="3722" priority="6551" operator="greaterThanOrEqual">
      <formula>1500</formula>
    </cfRule>
    <cfRule type="cellIs" dxfId="3721" priority="6552" operator="greaterThanOrEqual">
      <formula>1475</formula>
    </cfRule>
    <cfRule type="cellIs" dxfId="3720" priority="6553" operator="greaterThanOrEqual">
      <formula>1450</formula>
    </cfRule>
    <cfRule type="cellIs" dxfId="3719" priority="6554" operator="greaterThanOrEqual">
      <formula>1400</formula>
    </cfRule>
  </conditionalFormatting>
  <conditionalFormatting sqref="K158">
    <cfRule type="cellIs" dxfId="3718" priority="6546" operator="greaterThan">
      <formula>10000</formula>
    </cfRule>
    <cfRule type="cellIs" dxfId="3717" priority="6547" operator="greaterThanOrEqual">
      <formula>1500</formula>
    </cfRule>
    <cfRule type="cellIs" dxfId="3716" priority="6548" operator="greaterThanOrEqual">
      <formula>1450</formula>
    </cfRule>
    <cfRule type="cellIs" dxfId="3715" priority="6549" operator="greaterThan">
      <formula>1400</formula>
    </cfRule>
  </conditionalFormatting>
  <conditionalFormatting sqref="K158">
    <cfRule type="cellIs" dxfId="3714" priority="6541" operator="greaterThan">
      <formula>10000</formula>
    </cfRule>
    <cfRule type="cellIs" dxfId="3713" priority="6542" operator="greaterThanOrEqual">
      <formula>1500</formula>
    </cfRule>
    <cfRule type="cellIs" dxfId="3712" priority="6543" operator="greaterThanOrEqual">
      <formula>1475</formula>
    </cfRule>
    <cfRule type="cellIs" dxfId="3711" priority="6544" operator="greaterThanOrEqual">
      <formula>1450</formula>
    </cfRule>
    <cfRule type="cellIs" dxfId="3710" priority="6545" operator="greaterThanOrEqual">
      <formula>1400</formula>
    </cfRule>
  </conditionalFormatting>
  <conditionalFormatting sqref="K162">
    <cfRule type="cellIs" dxfId="3709" priority="6528" operator="greaterThan">
      <formula>10000</formula>
    </cfRule>
    <cfRule type="cellIs" dxfId="3708" priority="6529" operator="greaterThanOrEqual">
      <formula>1500</formula>
    </cfRule>
    <cfRule type="cellIs" dxfId="3707" priority="6530" operator="greaterThanOrEqual">
      <formula>1450</formula>
    </cfRule>
    <cfRule type="cellIs" dxfId="3706" priority="6531" operator="greaterThan">
      <formula>1400</formula>
    </cfRule>
  </conditionalFormatting>
  <conditionalFormatting sqref="K162">
    <cfRule type="cellIs" dxfId="3705" priority="6523" operator="greaterThan">
      <formula>10000</formula>
    </cfRule>
    <cfRule type="cellIs" dxfId="3704" priority="6524" operator="greaterThanOrEqual">
      <formula>1500</formula>
    </cfRule>
    <cfRule type="cellIs" dxfId="3703" priority="6525" operator="greaterThanOrEqual">
      <formula>1475</formula>
    </cfRule>
    <cfRule type="cellIs" dxfId="3702" priority="6526" operator="greaterThanOrEqual">
      <formula>1450</formula>
    </cfRule>
    <cfRule type="cellIs" dxfId="3701" priority="6527" operator="greaterThanOrEqual">
      <formula>1400</formula>
    </cfRule>
  </conditionalFormatting>
  <conditionalFormatting sqref="K162">
    <cfRule type="cellIs" dxfId="3700" priority="6519" operator="greaterThan">
      <formula>10000</formula>
    </cfRule>
    <cfRule type="cellIs" dxfId="3699" priority="6520" operator="greaterThanOrEqual">
      <formula>1500</formula>
    </cfRule>
    <cfRule type="cellIs" dxfId="3698" priority="6521" operator="greaterThanOrEqual">
      <formula>1450</formula>
    </cfRule>
    <cfRule type="cellIs" dxfId="3697" priority="6522" operator="greaterThan">
      <formula>1400</formula>
    </cfRule>
  </conditionalFormatting>
  <conditionalFormatting sqref="K162">
    <cfRule type="cellIs" dxfId="3696" priority="6514" operator="greaterThan">
      <formula>10000</formula>
    </cfRule>
    <cfRule type="cellIs" dxfId="3695" priority="6515" operator="greaterThanOrEqual">
      <formula>1500</formula>
    </cfRule>
    <cfRule type="cellIs" dxfId="3694" priority="6516" operator="greaterThanOrEqual">
      <formula>1475</formula>
    </cfRule>
    <cfRule type="cellIs" dxfId="3693" priority="6517" operator="greaterThanOrEqual">
      <formula>1450</formula>
    </cfRule>
    <cfRule type="cellIs" dxfId="3692" priority="6518" operator="greaterThanOrEqual">
      <formula>1400</formula>
    </cfRule>
  </conditionalFormatting>
  <conditionalFormatting sqref="K163">
    <cfRule type="cellIs" dxfId="3691" priority="6501" operator="greaterThan">
      <formula>10000</formula>
    </cfRule>
    <cfRule type="cellIs" dxfId="3690" priority="6502" operator="greaterThanOrEqual">
      <formula>1500</formula>
    </cfRule>
    <cfRule type="cellIs" dxfId="3689" priority="6503" operator="greaterThanOrEqual">
      <formula>1450</formula>
    </cfRule>
    <cfRule type="cellIs" dxfId="3688" priority="6504" operator="greaterThan">
      <formula>1400</formula>
    </cfRule>
  </conditionalFormatting>
  <conditionalFormatting sqref="K163">
    <cfRule type="cellIs" dxfId="3687" priority="6496" operator="greaterThan">
      <formula>10000</formula>
    </cfRule>
    <cfRule type="cellIs" dxfId="3686" priority="6497" operator="greaterThanOrEqual">
      <formula>1500</formula>
    </cfRule>
    <cfRule type="cellIs" dxfId="3685" priority="6498" operator="greaterThanOrEqual">
      <formula>1475</formula>
    </cfRule>
    <cfRule type="cellIs" dxfId="3684" priority="6499" operator="greaterThanOrEqual">
      <formula>1450</formula>
    </cfRule>
    <cfRule type="cellIs" dxfId="3683" priority="6500" operator="greaterThanOrEqual">
      <formula>1400</formula>
    </cfRule>
  </conditionalFormatting>
  <conditionalFormatting sqref="K163">
    <cfRule type="cellIs" dxfId="3682" priority="6492" operator="greaterThan">
      <formula>10000</formula>
    </cfRule>
    <cfRule type="cellIs" dxfId="3681" priority="6493" operator="greaterThanOrEqual">
      <formula>1500</formula>
    </cfRule>
    <cfRule type="cellIs" dxfId="3680" priority="6494" operator="greaterThanOrEqual">
      <formula>1450</formula>
    </cfRule>
    <cfRule type="cellIs" dxfId="3679" priority="6495" operator="greaterThan">
      <formula>1400</formula>
    </cfRule>
  </conditionalFormatting>
  <conditionalFormatting sqref="K163">
    <cfRule type="cellIs" dxfId="3678" priority="6487" operator="greaterThan">
      <formula>10000</formula>
    </cfRule>
    <cfRule type="cellIs" dxfId="3677" priority="6488" operator="greaterThanOrEqual">
      <formula>1500</formula>
    </cfRule>
    <cfRule type="cellIs" dxfId="3676" priority="6489" operator="greaterThanOrEqual">
      <formula>1475</formula>
    </cfRule>
    <cfRule type="cellIs" dxfId="3675" priority="6490" operator="greaterThanOrEqual">
      <formula>1450</formula>
    </cfRule>
    <cfRule type="cellIs" dxfId="3674" priority="6491" operator="greaterThanOrEqual">
      <formula>1400</formula>
    </cfRule>
  </conditionalFormatting>
  <conditionalFormatting sqref="K155">
    <cfRule type="cellIs" dxfId="3673" priority="6417" operator="greaterThan">
      <formula>10000</formula>
    </cfRule>
    <cfRule type="cellIs" dxfId="3672" priority="6418" operator="greaterThanOrEqual">
      <formula>1500</formula>
    </cfRule>
    <cfRule type="cellIs" dxfId="3671" priority="6419" operator="greaterThanOrEqual">
      <formula>1450</formula>
    </cfRule>
    <cfRule type="cellIs" dxfId="3670" priority="6420" operator="greaterThan">
      <formula>1400</formula>
    </cfRule>
  </conditionalFormatting>
  <conditionalFormatting sqref="K155">
    <cfRule type="cellIs" dxfId="3669" priority="6412" operator="greaterThan">
      <formula>10000</formula>
    </cfRule>
    <cfRule type="cellIs" dxfId="3668" priority="6413" operator="greaterThanOrEqual">
      <formula>1500</formula>
    </cfRule>
    <cfRule type="cellIs" dxfId="3667" priority="6414" operator="greaterThanOrEqual">
      <formula>1475</formula>
    </cfRule>
    <cfRule type="cellIs" dxfId="3666" priority="6415" operator="greaterThanOrEqual">
      <formula>1450</formula>
    </cfRule>
    <cfRule type="cellIs" dxfId="3665" priority="6416" operator="greaterThanOrEqual">
      <formula>1400</formula>
    </cfRule>
  </conditionalFormatting>
  <conditionalFormatting sqref="K155">
    <cfRule type="cellIs" dxfId="3664" priority="6408" operator="greaterThan">
      <formula>10000</formula>
    </cfRule>
    <cfRule type="cellIs" dxfId="3663" priority="6409" operator="greaterThanOrEqual">
      <formula>1500</formula>
    </cfRule>
    <cfRule type="cellIs" dxfId="3662" priority="6410" operator="greaterThanOrEqual">
      <formula>1450</formula>
    </cfRule>
    <cfRule type="cellIs" dxfId="3661" priority="6411" operator="greaterThan">
      <formula>1400</formula>
    </cfRule>
  </conditionalFormatting>
  <conditionalFormatting sqref="K155">
    <cfRule type="cellIs" dxfId="3660" priority="6403" operator="greaterThan">
      <formula>10000</formula>
    </cfRule>
    <cfRule type="cellIs" dxfId="3659" priority="6404" operator="greaterThanOrEqual">
      <formula>1500</formula>
    </cfRule>
    <cfRule type="cellIs" dxfId="3658" priority="6405" operator="greaterThanOrEqual">
      <formula>1475</formula>
    </cfRule>
    <cfRule type="cellIs" dxfId="3657" priority="6406" operator="greaterThanOrEqual">
      <formula>1450</formula>
    </cfRule>
    <cfRule type="cellIs" dxfId="3656" priority="6407" operator="greaterThanOrEqual">
      <formula>1400</formula>
    </cfRule>
  </conditionalFormatting>
  <conditionalFormatting sqref="K154">
    <cfRule type="cellIs" dxfId="3655" priority="6381" operator="greaterThan">
      <formula>10000</formula>
    </cfRule>
    <cfRule type="cellIs" dxfId="3654" priority="6382" operator="greaterThanOrEqual">
      <formula>1500</formula>
    </cfRule>
    <cfRule type="cellIs" dxfId="3653" priority="6383" operator="greaterThanOrEqual">
      <formula>1450</formula>
    </cfRule>
    <cfRule type="cellIs" dxfId="3652" priority="6384" operator="greaterThan">
      <formula>1400</formula>
    </cfRule>
  </conditionalFormatting>
  <conditionalFormatting sqref="K154">
    <cfRule type="cellIs" dxfId="3651" priority="6376" operator="greaterThan">
      <formula>10000</formula>
    </cfRule>
    <cfRule type="cellIs" dxfId="3650" priority="6377" operator="greaterThanOrEqual">
      <formula>1500</formula>
    </cfRule>
    <cfRule type="cellIs" dxfId="3649" priority="6378" operator="greaterThanOrEqual">
      <formula>1475</formula>
    </cfRule>
    <cfRule type="cellIs" dxfId="3648" priority="6379" operator="greaterThanOrEqual">
      <formula>1450</formula>
    </cfRule>
    <cfRule type="cellIs" dxfId="3647" priority="6380" operator="greaterThanOrEqual">
      <formula>1400</formula>
    </cfRule>
  </conditionalFormatting>
  <conditionalFormatting sqref="K154">
    <cfRule type="cellIs" dxfId="3646" priority="6372" operator="greaterThan">
      <formula>10000</formula>
    </cfRule>
    <cfRule type="cellIs" dxfId="3645" priority="6373" operator="greaterThanOrEqual">
      <formula>1500</formula>
    </cfRule>
    <cfRule type="cellIs" dxfId="3644" priority="6374" operator="greaterThanOrEqual">
      <formula>1450</formula>
    </cfRule>
    <cfRule type="cellIs" dxfId="3643" priority="6375" operator="greaterThan">
      <formula>1400</formula>
    </cfRule>
  </conditionalFormatting>
  <conditionalFormatting sqref="K154">
    <cfRule type="cellIs" dxfId="3642" priority="6367" operator="greaterThan">
      <formula>10000</formula>
    </cfRule>
    <cfRule type="cellIs" dxfId="3641" priority="6368" operator="greaterThanOrEqual">
      <formula>1500</formula>
    </cfRule>
    <cfRule type="cellIs" dxfId="3640" priority="6369" operator="greaterThanOrEqual">
      <formula>1475</formula>
    </cfRule>
    <cfRule type="cellIs" dxfId="3639" priority="6370" operator="greaterThanOrEqual">
      <formula>1450</formula>
    </cfRule>
    <cfRule type="cellIs" dxfId="3638" priority="6371" operator="greaterThanOrEqual">
      <formula>1400</formula>
    </cfRule>
  </conditionalFormatting>
  <conditionalFormatting sqref="K160">
    <cfRule type="cellIs" dxfId="3637" priority="6345" operator="greaterThan">
      <formula>10000</formula>
    </cfRule>
    <cfRule type="cellIs" dxfId="3636" priority="6346" operator="greaterThanOrEqual">
      <formula>1500</formula>
    </cfRule>
    <cfRule type="cellIs" dxfId="3635" priority="6347" operator="greaterThanOrEqual">
      <formula>1450</formula>
    </cfRule>
    <cfRule type="cellIs" dxfId="3634" priority="6348" operator="greaterThan">
      <formula>1400</formula>
    </cfRule>
  </conditionalFormatting>
  <conditionalFormatting sqref="K160">
    <cfRule type="cellIs" dxfId="3633" priority="6340" operator="greaterThan">
      <formula>10000</formula>
    </cfRule>
    <cfRule type="cellIs" dxfId="3632" priority="6341" operator="greaterThanOrEqual">
      <formula>1500</formula>
    </cfRule>
    <cfRule type="cellIs" dxfId="3631" priority="6342" operator="greaterThanOrEqual">
      <formula>1475</formula>
    </cfRule>
    <cfRule type="cellIs" dxfId="3630" priority="6343" operator="greaterThanOrEqual">
      <formula>1450</formula>
    </cfRule>
    <cfRule type="cellIs" dxfId="3629" priority="6344" operator="greaterThanOrEqual">
      <formula>1400</formula>
    </cfRule>
  </conditionalFormatting>
  <conditionalFormatting sqref="K160">
    <cfRule type="cellIs" dxfId="3628" priority="6336" operator="greaterThan">
      <formula>10000</formula>
    </cfRule>
    <cfRule type="cellIs" dxfId="3627" priority="6337" operator="greaterThanOrEqual">
      <formula>1500</formula>
    </cfRule>
    <cfRule type="cellIs" dxfId="3626" priority="6338" operator="greaterThanOrEqual">
      <formula>1450</formula>
    </cfRule>
    <cfRule type="cellIs" dxfId="3625" priority="6339" operator="greaterThan">
      <formula>1400</formula>
    </cfRule>
  </conditionalFormatting>
  <conditionalFormatting sqref="K160">
    <cfRule type="cellIs" dxfId="3624" priority="6331" operator="greaterThan">
      <formula>10000</formula>
    </cfRule>
    <cfRule type="cellIs" dxfId="3623" priority="6332" operator="greaterThanOrEqual">
      <formula>1500</formula>
    </cfRule>
    <cfRule type="cellIs" dxfId="3622" priority="6333" operator="greaterThanOrEqual">
      <formula>1475</formula>
    </cfRule>
    <cfRule type="cellIs" dxfId="3621" priority="6334" operator="greaterThanOrEqual">
      <formula>1450</formula>
    </cfRule>
    <cfRule type="cellIs" dxfId="3620" priority="6335" operator="greaterThanOrEqual">
      <formula>1400</formula>
    </cfRule>
  </conditionalFormatting>
  <conditionalFormatting sqref="K160">
    <cfRule type="cellIs" dxfId="3619" priority="6327" operator="greaterThan">
      <formula>10000</formula>
    </cfRule>
    <cfRule type="cellIs" dxfId="3618" priority="6328" operator="greaterThanOrEqual">
      <formula>1500</formula>
    </cfRule>
    <cfRule type="cellIs" dxfId="3617" priority="6329" operator="greaterThanOrEqual">
      <formula>1450</formula>
    </cfRule>
    <cfRule type="cellIs" dxfId="3616" priority="6330" operator="greaterThan">
      <formula>1400</formula>
    </cfRule>
  </conditionalFormatting>
  <conditionalFormatting sqref="K160">
    <cfRule type="cellIs" dxfId="3615" priority="6322" operator="greaterThan">
      <formula>10000</formula>
    </cfRule>
    <cfRule type="cellIs" dxfId="3614" priority="6323" operator="greaterThanOrEqual">
      <formula>1500</formula>
    </cfRule>
    <cfRule type="cellIs" dxfId="3613" priority="6324" operator="greaterThanOrEqual">
      <formula>1475</formula>
    </cfRule>
    <cfRule type="cellIs" dxfId="3612" priority="6325" operator="greaterThanOrEqual">
      <formula>1450</formula>
    </cfRule>
    <cfRule type="cellIs" dxfId="3611" priority="6326" operator="greaterThanOrEqual">
      <formula>1400</formula>
    </cfRule>
  </conditionalFormatting>
  <conditionalFormatting sqref="K161">
    <cfRule type="cellIs" dxfId="3610" priority="6300" operator="greaterThan">
      <formula>10000</formula>
    </cfRule>
    <cfRule type="cellIs" dxfId="3609" priority="6301" operator="greaterThanOrEqual">
      <formula>1500</formula>
    </cfRule>
    <cfRule type="cellIs" dxfId="3608" priority="6302" operator="greaterThanOrEqual">
      <formula>1450</formula>
    </cfRule>
    <cfRule type="cellIs" dxfId="3607" priority="6303" operator="greaterThan">
      <formula>1400</formula>
    </cfRule>
  </conditionalFormatting>
  <conditionalFormatting sqref="K161">
    <cfRule type="cellIs" dxfId="3606" priority="6295" operator="greaterThan">
      <formula>10000</formula>
    </cfRule>
    <cfRule type="cellIs" dxfId="3605" priority="6296" operator="greaterThanOrEqual">
      <formula>1500</formula>
    </cfRule>
    <cfRule type="cellIs" dxfId="3604" priority="6297" operator="greaterThanOrEqual">
      <formula>1475</formula>
    </cfRule>
    <cfRule type="cellIs" dxfId="3603" priority="6298" operator="greaterThanOrEqual">
      <formula>1450</formula>
    </cfRule>
    <cfRule type="cellIs" dxfId="3602" priority="6299" operator="greaterThanOrEqual">
      <formula>1400</formula>
    </cfRule>
  </conditionalFormatting>
  <conditionalFormatting sqref="K161">
    <cfRule type="cellIs" dxfId="3601" priority="6291" operator="greaterThan">
      <formula>10000</formula>
    </cfRule>
    <cfRule type="cellIs" dxfId="3600" priority="6292" operator="greaterThanOrEqual">
      <formula>1500</formula>
    </cfRule>
    <cfRule type="cellIs" dxfId="3599" priority="6293" operator="greaterThanOrEqual">
      <formula>1450</formula>
    </cfRule>
    <cfRule type="cellIs" dxfId="3598" priority="6294" operator="greaterThan">
      <formula>1400</formula>
    </cfRule>
  </conditionalFormatting>
  <conditionalFormatting sqref="K161">
    <cfRule type="cellIs" dxfId="3597" priority="6286" operator="greaterThan">
      <formula>10000</formula>
    </cfRule>
    <cfRule type="cellIs" dxfId="3596" priority="6287" operator="greaterThanOrEqual">
      <formula>1500</formula>
    </cfRule>
    <cfRule type="cellIs" dxfId="3595" priority="6288" operator="greaterThanOrEqual">
      <formula>1475</formula>
    </cfRule>
    <cfRule type="cellIs" dxfId="3594" priority="6289" operator="greaterThanOrEqual">
      <formula>1450</formula>
    </cfRule>
    <cfRule type="cellIs" dxfId="3593" priority="6290" operator="greaterThanOrEqual">
      <formula>1400</formula>
    </cfRule>
  </conditionalFormatting>
  <conditionalFormatting sqref="K161">
    <cfRule type="cellIs" dxfId="3592" priority="6282" operator="greaterThan">
      <formula>10000</formula>
    </cfRule>
    <cfRule type="cellIs" dxfId="3591" priority="6283" operator="greaterThanOrEqual">
      <formula>1500</formula>
    </cfRule>
    <cfRule type="cellIs" dxfId="3590" priority="6284" operator="greaterThanOrEqual">
      <formula>1450</formula>
    </cfRule>
    <cfRule type="cellIs" dxfId="3589" priority="6285" operator="greaterThan">
      <formula>1400</formula>
    </cfRule>
  </conditionalFormatting>
  <conditionalFormatting sqref="K161">
    <cfRule type="cellIs" dxfId="3588" priority="6277" operator="greaterThan">
      <formula>10000</formula>
    </cfRule>
    <cfRule type="cellIs" dxfId="3587" priority="6278" operator="greaterThanOrEqual">
      <formula>1500</formula>
    </cfRule>
    <cfRule type="cellIs" dxfId="3586" priority="6279" operator="greaterThanOrEqual">
      <formula>1475</formula>
    </cfRule>
    <cfRule type="cellIs" dxfId="3585" priority="6280" operator="greaterThanOrEqual">
      <formula>1450</formula>
    </cfRule>
    <cfRule type="cellIs" dxfId="3584" priority="6281" operator="greaterThanOrEqual">
      <formula>1400</formula>
    </cfRule>
  </conditionalFormatting>
  <conditionalFormatting sqref="K173 K175">
    <cfRule type="cellIs" dxfId="3583" priority="6192" operator="greaterThan">
      <formula>10000</formula>
    </cfRule>
    <cfRule type="cellIs" dxfId="3582" priority="6193" operator="greaterThanOrEqual">
      <formula>1500</formula>
    </cfRule>
    <cfRule type="cellIs" dxfId="3581" priority="6194" operator="greaterThanOrEqual">
      <formula>1450</formula>
    </cfRule>
    <cfRule type="cellIs" dxfId="3580" priority="6195" operator="greaterThan">
      <formula>1400</formula>
    </cfRule>
  </conditionalFormatting>
  <conditionalFormatting sqref="K173 K175">
    <cfRule type="cellIs" dxfId="3579" priority="6187" operator="greaterThan">
      <formula>10000</formula>
    </cfRule>
    <cfRule type="cellIs" dxfId="3578" priority="6188" operator="greaterThanOrEqual">
      <formula>1500</formula>
    </cfRule>
    <cfRule type="cellIs" dxfId="3577" priority="6189" operator="greaterThanOrEqual">
      <formula>1475</formula>
    </cfRule>
    <cfRule type="cellIs" dxfId="3576" priority="6190" operator="greaterThanOrEqual">
      <formula>1450</formula>
    </cfRule>
    <cfRule type="cellIs" dxfId="3575" priority="6191" operator="greaterThanOrEqual">
      <formula>1400</formula>
    </cfRule>
  </conditionalFormatting>
  <conditionalFormatting sqref="K173 K175">
    <cfRule type="cellIs" dxfId="3574" priority="6183" operator="greaterThan">
      <formula>10000</formula>
    </cfRule>
    <cfRule type="cellIs" dxfId="3573" priority="6184" operator="greaterThanOrEqual">
      <formula>1500</formula>
    </cfRule>
    <cfRule type="cellIs" dxfId="3572" priority="6185" operator="greaterThanOrEqual">
      <formula>1450</formula>
    </cfRule>
    <cfRule type="cellIs" dxfId="3571" priority="6186" operator="greaterThan">
      <formula>1400</formula>
    </cfRule>
  </conditionalFormatting>
  <conditionalFormatting sqref="K173 K175">
    <cfRule type="cellIs" dxfId="3570" priority="6178" operator="greaterThan">
      <formula>10000</formula>
    </cfRule>
    <cfRule type="cellIs" dxfId="3569" priority="6179" operator="greaterThanOrEqual">
      <formula>1500</formula>
    </cfRule>
    <cfRule type="cellIs" dxfId="3568" priority="6180" operator="greaterThanOrEqual">
      <formula>1475</formula>
    </cfRule>
    <cfRule type="cellIs" dxfId="3567" priority="6181" operator="greaterThanOrEqual">
      <formula>1450</formula>
    </cfRule>
    <cfRule type="cellIs" dxfId="3566" priority="6182" operator="greaterThanOrEqual">
      <formula>1400</formula>
    </cfRule>
  </conditionalFormatting>
  <conditionalFormatting sqref="K175">
    <cfRule type="cellIs" dxfId="3565" priority="6024" operator="greaterThan">
      <formula>10000</formula>
    </cfRule>
    <cfRule type="cellIs" dxfId="3564" priority="6025" operator="greaterThanOrEqual">
      <formula>1500</formula>
    </cfRule>
    <cfRule type="cellIs" dxfId="3563" priority="6026" operator="greaterThanOrEqual">
      <formula>1450</formula>
    </cfRule>
    <cfRule type="cellIs" dxfId="3562" priority="6027" operator="greaterThan">
      <formula>1400</formula>
    </cfRule>
  </conditionalFormatting>
  <conditionalFormatting sqref="K175">
    <cfRule type="cellIs" dxfId="3561" priority="6019" operator="greaterThan">
      <formula>10000</formula>
    </cfRule>
    <cfRule type="cellIs" dxfId="3560" priority="6020" operator="greaterThanOrEqual">
      <formula>1500</formula>
    </cfRule>
    <cfRule type="cellIs" dxfId="3559" priority="6021" operator="greaterThanOrEqual">
      <formula>1475</formula>
    </cfRule>
    <cfRule type="cellIs" dxfId="3558" priority="6022" operator="greaterThanOrEqual">
      <formula>1450</formula>
    </cfRule>
    <cfRule type="cellIs" dxfId="3557" priority="6023" operator="greaterThanOrEqual">
      <formula>1400</formula>
    </cfRule>
  </conditionalFormatting>
  <conditionalFormatting sqref="K175">
    <cfRule type="cellIs" dxfId="3556" priority="6015" operator="greaterThan">
      <formula>10000</formula>
    </cfRule>
    <cfRule type="cellIs" dxfId="3555" priority="6016" operator="greaterThanOrEqual">
      <formula>1500</formula>
    </cfRule>
    <cfRule type="cellIs" dxfId="3554" priority="6017" operator="greaterThanOrEqual">
      <formula>1450</formula>
    </cfRule>
    <cfRule type="cellIs" dxfId="3553" priority="6018" operator="greaterThan">
      <formula>1400</formula>
    </cfRule>
  </conditionalFormatting>
  <conditionalFormatting sqref="K175">
    <cfRule type="cellIs" dxfId="3552" priority="6010" operator="greaterThan">
      <formula>10000</formula>
    </cfRule>
    <cfRule type="cellIs" dxfId="3551" priority="6011" operator="greaterThanOrEqual">
      <formula>1500</formula>
    </cfRule>
    <cfRule type="cellIs" dxfId="3550" priority="6012" operator="greaterThanOrEqual">
      <formula>1475</formula>
    </cfRule>
    <cfRule type="cellIs" dxfId="3549" priority="6013" operator="greaterThanOrEqual">
      <formula>1450</formula>
    </cfRule>
    <cfRule type="cellIs" dxfId="3548" priority="6014" operator="greaterThanOrEqual">
      <formula>1400</formula>
    </cfRule>
  </conditionalFormatting>
  <conditionalFormatting sqref="K136:K144">
    <cfRule type="cellIs" dxfId="3547" priority="5832" operator="greaterThan">
      <formula>10000</formula>
    </cfRule>
    <cfRule type="cellIs" dxfId="3546" priority="5833" operator="greaterThanOrEqual">
      <formula>1500</formula>
    </cfRule>
    <cfRule type="cellIs" dxfId="3545" priority="5834" operator="greaterThanOrEqual">
      <formula>1450</formula>
    </cfRule>
    <cfRule type="cellIs" dxfId="3544" priority="5835" operator="greaterThan">
      <formula>1400</formula>
    </cfRule>
  </conditionalFormatting>
  <conditionalFormatting sqref="K136:K144">
    <cfRule type="cellIs" dxfId="3543" priority="5827" operator="greaterThan">
      <formula>10000</formula>
    </cfRule>
    <cfRule type="cellIs" dxfId="3542" priority="5828" operator="greaterThanOrEqual">
      <formula>1500</formula>
    </cfRule>
    <cfRule type="cellIs" dxfId="3541" priority="5829" operator="greaterThanOrEqual">
      <formula>1475</formula>
    </cfRule>
    <cfRule type="cellIs" dxfId="3540" priority="5830" operator="greaterThanOrEqual">
      <formula>1450</formula>
    </cfRule>
    <cfRule type="cellIs" dxfId="3539" priority="5831" operator="greaterThanOrEqual">
      <formula>1400</formula>
    </cfRule>
  </conditionalFormatting>
  <conditionalFormatting sqref="K136:K144">
    <cfRule type="cellIs" dxfId="3538" priority="5823" operator="greaterThan">
      <formula>10000</formula>
    </cfRule>
    <cfRule type="cellIs" dxfId="3537" priority="5824" operator="greaterThanOrEqual">
      <formula>1500</formula>
    </cfRule>
    <cfRule type="cellIs" dxfId="3536" priority="5825" operator="greaterThanOrEqual">
      <formula>1450</formula>
    </cfRule>
    <cfRule type="cellIs" dxfId="3535" priority="5826" operator="greaterThan">
      <formula>1400</formula>
    </cfRule>
  </conditionalFormatting>
  <conditionalFormatting sqref="K136:K144">
    <cfRule type="cellIs" dxfId="3534" priority="5818" operator="greaterThan">
      <formula>10000</formula>
    </cfRule>
    <cfRule type="cellIs" dxfId="3533" priority="5819" operator="greaterThanOrEqual">
      <formula>1500</formula>
    </cfRule>
    <cfRule type="cellIs" dxfId="3532" priority="5820" operator="greaterThanOrEqual">
      <formula>1475</formula>
    </cfRule>
    <cfRule type="cellIs" dxfId="3531" priority="5821" operator="greaterThanOrEqual">
      <formula>1450</formula>
    </cfRule>
    <cfRule type="cellIs" dxfId="3530" priority="5822" operator="greaterThanOrEqual">
      <formula>1400</formula>
    </cfRule>
  </conditionalFormatting>
  <conditionalFormatting sqref="K132">
    <cfRule type="cellIs" dxfId="3529" priority="5775" operator="greaterThan">
      <formula>10000</formula>
    </cfRule>
    <cfRule type="cellIs" dxfId="3528" priority="5776" operator="greaterThanOrEqual">
      <formula>1500</formula>
    </cfRule>
    <cfRule type="cellIs" dxfId="3527" priority="5777" operator="greaterThanOrEqual">
      <formula>1450</formula>
    </cfRule>
    <cfRule type="cellIs" dxfId="3526" priority="5778" operator="greaterThan">
      <formula>1400</formula>
    </cfRule>
  </conditionalFormatting>
  <conditionalFormatting sqref="K132">
    <cfRule type="cellIs" dxfId="3525" priority="5770" operator="greaterThan">
      <formula>10000</formula>
    </cfRule>
    <cfRule type="cellIs" dxfId="3524" priority="5771" operator="greaterThanOrEqual">
      <formula>1500</formula>
    </cfRule>
    <cfRule type="cellIs" dxfId="3523" priority="5772" operator="greaterThanOrEqual">
      <formula>1475</formula>
    </cfRule>
    <cfRule type="cellIs" dxfId="3522" priority="5773" operator="greaterThanOrEqual">
      <formula>1450</formula>
    </cfRule>
    <cfRule type="cellIs" dxfId="3521" priority="5774" operator="greaterThanOrEqual">
      <formula>1400</formula>
    </cfRule>
  </conditionalFormatting>
  <conditionalFormatting sqref="K132">
    <cfRule type="cellIs" dxfId="3520" priority="5754" operator="greaterThan">
      <formula>10000</formula>
    </cfRule>
    <cfRule type="cellIs" dxfId="3519" priority="5755" operator="greaterThanOrEqual">
      <formula>1500</formula>
    </cfRule>
    <cfRule type="cellIs" dxfId="3518" priority="5756" operator="greaterThanOrEqual">
      <formula>1450</formula>
    </cfRule>
    <cfRule type="cellIs" dxfId="3517" priority="5757" operator="greaterThan">
      <formula>1400</formula>
    </cfRule>
  </conditionalFormatting>
  <conditionalFormatting sqref="K132">
    <cfRule type="cellIs" dxfId="3516" priority="5749" operator="greaterThan">
      <formula>10000</formula>
    </cfRule>
    <cfRule type="cellIs" dxfId="3515" priority="5750" operator="greaterThanOrEqual">
      <formula>1500</formula>
    </cfRule>
    <cfRule type="cellIs" dxfId="3514" priority="5751" operator="greaterThanOrEqual">
      <formula>1475</formula>
    </cfRule>
    <cfRule type="cellIs" dxfId="3513" priority="5752" operator="greaterThanOrEqual">
      <formula>1450</formula>
    </cfRule>
    <cfRule type="cellIs" dxfId="3512" priority="5753" operator="greaterThanOrEqual">
      <formula>1400</formula>
    </cfRule>
  </conditionalFormatting>
  <conditionalFormatting sqref="K132">
    <cfRule type="cellIs" dxfId="3511" priority="5745" operator="greaterThan">
      <formula>10000</formula>
    </cfRule>
    <cfRule type="cellIs" dxfId="3510" priority="5746" operator="greaterThanOrEqual">
      <formula>1500</formula>
    </cfRule>
    <cfRule type="cellIs" dxfId="3509" priority="5747" operator="greaterThanOrEqual">
      <formula>1450</formula>
    </cfRule>
    <cfRule type="cellIs" dxfId="3508" priority="5748" operator="greaterThan">
      <formula>1400</formula>
    </cfRule>
  </conditionalFormatting>
  <conditionalFormatting sqref="K132">
    <cfRule type="cellIs" dxfId="3507" priority="5740" operator="greaterThan">
      <formula>10000</formula>
    </cfRule>
    <cfRule type="cellIs" dxfId="3506" priority="5741" operator="greaterThanOrEqual">
      <formula>1500</formula>
    </cfRule>
    <cfRule type="cellIs" dxfId="3505" priority="5742" operator="greaterThanOrEqual">
      <formula>1475</formula>
    </cfRule>
    <cfRule type="cellIs" dxfId="3504" priority="5743" operator="greaterThanOrEqual">
      <formula>1450</formula>
    </cfRule>
    <cfRule type="cellIs" dxfId="3503" priority="5744" operator="greaterThanOrEqual">
      <formula>1400</formula>
    </cfRule>
  </conditionalFormatting>
  <conditionalFormatting sqref="K131">
    <cfRule type="cellIs" dxfId="3502" priority="5736" operator="greaterThan">
      <formula>10000</formula>
    </cfRule>
    <cfRule type="cellIs" dxfId="3501" priority="5737" operator="greaterThanOrEqual">
      <formula>1500</formula>
    </cfRule>
    <cfRule type="cellIs" dxfId="3500" priority="5738" operator="greaterThanOrEqual">
      <formula>1450</formula>
    </cfRule>
    <cfRule type="cellIs" dxfId="3499" priority="5739" operator="greaterThan">
      <formula>1400</formula>
    </cfRule>
  </conditionalFormatting>
  <conditionalFormatting sqref="K131">
    <cfRule type="cellIs" dxfId="3498" priority="5731" operator="greaterThan">
      <formula>10000</formula>
    </cfRule>
    <cfRule type="cellIs" dxfId="3497" priority="5732" operator="greaterThanOrEqual">
      <formula>1500</formula>
    </cfRule>
    <cfRule type="cellIs" dxfId="3496" priority="5733" operator="greaterThanOrEqual">
      <formula>1475</formula>
    </cfRule>
    <cfRule type="cellIs" dxfId="3495" priority="5734" operator="greaterThanOrEqual">
      <formula>1450</formula>
    </cfRule>
    <cfRule type="cellIs" dxfId="3494" priority="5735" operator="greaterThanOrEqual">
      <formula>1400</formula>
    </cfRule>
  </conditionalFormatting>
  <conditionalFormatting sqref="K131">
    <cfRule type="cellIs" dxfId="3493" priority="5715" operator="greaterThan">
      <formula>10000</formula>
    </cfRule>
    <cfRule type="cellIs" dxfId="3492" priority="5716" operator="greaterThanOrEqual">
      <formula>1500</formula>
    </cfRule>
    <cfRule type="cellIs" dxfId="3491" priority="5717" operator="greaterThanOrEqual">
      <formula>1450</formula>
    </cfRule>
    <cfRule type="cellIs" dxfId="3490" priority="5718" operator="greaterThan">
      <formula>1400</formula>
    </cfRule>
  </conditionalFormatting>
  <conditionalFormatting sqref="K131">
    <cfRule type="cellIs" dxfId="3489" priority="5710" operator="greaterThan">
      <formula>10000</formula>
    </cfRule>
    <cfRule type="cellIs" dxfId="3488" priority="5711" operator="greaterThanOrEqual">
      <formula>1500</formula>
    </cfRule>
    <cfRule type="cellIs" dxfId="3487" priority="5712" operator="greaterThanOrEqual">
      <formula>1475</formula>
    </cfRule>
    <cfRule type="cellIs" dxfId="3486" priority="5713" operator="greaterThanOrEqual">
      <formula>1450</formula>
    </cfRule>
    <cfRule type="cellIs" dxfId="3485" priority="5714" operator="greaterThanOrEqual">
      <formula>1400</formula>
    </cfRule>
  </conditionalFormatting>
  <conditionalFormatting sqref="K131">
    <cfRule type="cellIs" dxfId="3484" priority="5706" operator="greaterThan">
      <formula>10000</formula>
    </cfRule>
    <cfRule type="cellIs" dxfId="3483" priority="5707" operator="greaterThanOrEqual">
      <formula>1500</formula>
    </cfRule>
    <cfRule type="cellIs" dxfId="3482" priority="5708" operator="greaterThanOrEqual">
      <formula>1450</formula>
    </cfRule>
    <cfRule type="cellIs" dxfId="3481" priority="5709" operator="greaterThan">
      <formula>1400</formula>
    </cfRule>
  </conditionalFormatting>
  <conditionalFormatting sqref="K131">
    <cfRule type="cellIs" dxfId="3480" priority="5701" operator="greaterThan">
      <formula>10000</formula>
    </cfRule>
    <cfRule type="cellIs" dxfId="3479" priority="5702" operator="greaterThanOrEqual">
      <formula>1500</formula>
    </cfRule>
    <cfRule type="cellIs" dxfId="3478" priority="5703" operator="greaterThanOrEqual">
      <formula>1475</formula>
    </cfRule>
    <cfRule type="cellIs" dxfId="3477" priority="5704" operator="greaterThanOrEqual">
      <formula>1450</formula>
    </cfRule>
    <cfRule type="cellIs" dxfId="3476" priority="5705" operator="greaterThanOrEqual">
      <formula>1400</formula>
    </cfRule>
  </conditionalFormatting>
  <conditionalFormatting sqref="K130">
    <cfRule type="cellIs" dxfId="3475" priority="5697" operator="greaterThan">
      <formula>10000</formula>
    </cfRule>
    <cfRule type="cellIs" dxfId="3474" priority="5698" operator="greaterThanOrEqual">
      <formula>1500</formula>
    </cfRule>
    <cfRule type="cellIs" dxfId="3473" priority="5699" operator="greaterThanOrEqual">
      <formula>1450</formula>
    </cfRule>
    <cfRule type="cellIs" dxfId="3472" priority="5700" operator="greaterThan">
      <formula>1400</formula>
    </cfRule>
  </conditionalFormatting>
  <conditionalFormatting sqref="K130">
    <cfRule type="cellIs" dxfId="3471" priority="5692" operator="greaterThan">
      <formula>10000</formula>
    </cfRule>
    <cfRule type="cellIs" dxfId="3470" priority="5693" operator="greaterThanOrEqual">
      <formula>1500</formula>
    </cfRule>
    <cfRule type="cellIs" dxfId="3469" priority="5694" operator="greaterThanOrEqual">
      <formula>1475</formula>
    </cfRule>
    <cfRule type="cellIs" dxfId="3468" priority="5695" operator="greaterThanOrEqual">
      <formula>1450</formula>
    </cfRule>
    <cfRule type="cellIs" dxfId="3467" priority="5696" operator="greaterThanOrEqual">
      <formula>1400</formula>
    </cfRule>
  </conditionalFormatting>
  <conditionalFormatting sqref="K130">
    <cfRule type="cellIs" dxfId="3466" priority="5676" operator="greaterThan">
      <formula>10000</formula>
    </cfRule>
    <cfRule type="cellIs" dxfId="3465" priority="5677" operator="greaterThanOrEqual">
      <formula>1500</formula>
    </cfRule>
    <cfRule type="cellIs" dxfId="3464" priority="5678" operator="greaterThanOrEqual">
      <formula>1450</formula>
    </cfRule>
    <cfRule type="cellIs" dxfId="3463" priority="5679" operator="greaterThan">
      <formula>1400</formula>
    </cfRule>
  </conditionalFormatting>
  <conditionalFormatting sqref="K130">
    <cfRule type="cellIs" dxfId="3462" priority="5671" operator="greaterThan">
      <formula>10000</formula>
    </cfRule>
    <cfRule type="cellIs" dxfId="3461" priority="5672" operator="greaterThanOrEqual">
      <formula>1500</formula>
    </cfRule>
    <cfRule type="cellIs" dxfId="3460" priority="5673" operator="greaterThanOrEqual">
      <formula>1475</formula>
    </cfRule>
    <cfRule type="cellIs" dxfId="3459" priority="5674" operator="greaterThanOrEqual">
      <formula>1450</formula>
    </cfRule>
    <cfRule type="cellIs" dxfId="3458" priority="5675" operator="greaterThanOrEqual">
      <formula>1400</formula>
    </cfRule>
  </conditionalFormatting>
  <conditionalFormatting sqref="K130">
    <cfRule type="cellIs" dxfId="3457" priority="5667" operator="greaterThan">
      <formula>10000</formula>
    </cfRule>
    <cfRule type="cellIs" dxfId="3456" priority="5668" operator="greaterThanOrEqual">
      <formula>1500</formula>
    </cfRule>
    <cfRule type="cellIs" dxfId="3455" priority="5669" operator="greaterThanOrEqual">
      <formula>1450</formula>
    </cfRule>
    <cfRule type="cellIs" dxfId="3454" priority="5670" operator="greaterThan">
      <formula>1400</formula>
    </cfRule>
  </conditionalFormatting>
  <conditionalFormatting sqref="K130">
    <cfRule type="cellIs" dxfId="3453" priority="5662" operator="greaterThan">
      <formula>10000</formula>
    </cfRule>
    <cfRule type="cellIs" dxfId="3452" priority="5663" operator="greaterThanOrEqual">
      <formula>1500</formula>
    </cfRule>
    <cfRule type="cellIs" dxfId="3451" priority="5664" operator="greaterThanOrEqual">
      <formula>1475</formula>
    </cfRule>
    <cfRule type="cellIs" dxfId="3450" priority="5665" operator="greaterThanOrEqual">
      <formula>1450</formula>
    </cfRule>
    <cfRule type="cellIs" dxfId="3449" priority="5666" operator="greaterThanOrEqual">
      <formula>1400</formula>
    </cfRule>
  </conditionalFormatting>
  <conditionalFormatting sqref="K117">
    <cfRule type="cellIs" dxfId="3448" priority="5658" operator="greaterThan">
      <formula>10000</formula>
    </cfRule>
    <cfRule type="cellIs" dxfId="3447" priority="5659" operator="greaterThanOrEqual">
      <formula>1500</formula>
    </cfRule>
    <cfRule type="cellIs" dxfId="3446" priority="5660" operator="greaterThanOrEqual">
      <formula>1450</formula>
    </cfRule>
    <cfRule type="cellIs" dxfId="3445" priority="5661" operator="greaterThan">
      <formula>1400</formula>
    </cfRule>
  </conditionalFormatting>
  <conditionalFormatting sqref="K117">
    <cfRule type="cellIs" dxfId="3444" priority="5653" operator="greaterThan">
      <formula>10000</formula>
    </cfRule>
    <cfRule type="cellIs" dxfId="3443" priority="5654" operator="greaterThanOrEqual">
      <formula>1500</formula>
    </cfRule>
    <cfRule type="cellIs" dxfId="3442" priority="5655" operator="greaterThanOrEqual">
      <formula>1475</formula>
    </cfRule>
    <cfRule type="cellIs" dxfId="3441" priority="5656" operator="greaterThanOrEqual">
      <formula>1450</formula>
    </cfRule>
    <cfRule type="cellIs" dxfId="3440" priority="5657" operator="greaterThanOrEqual">
      <formula>1400</formula>
    </cfRule>
  </conditionalFormatting>
  <conditionalFormatting sqref="K117">
    <cfRule type="cellIs" dxfId="3439" priority="5637" operator="greaterThan">
      <formula>10000</formula>
    </cfRule>
    <cfRule type="cellIs" dxfId="3438" priority="5638" operator="greaterThanOrEqual">
      <formula>1500</formula>
    </cfRule>
    <cfRule type="cellIs" dxfId="3437" priority="5639" operator="greaterThanOrEqual">
      <formula>1450</formula>
    </cfRule>
    <cfRule type="cellIs" dxfId="3436" priority="5640" operator="greaterThan">
      <formula>1400</formula>
    </cfRule>
  </conditionalFormatting>
  <conditionalFormatting sqref="K117">
    <cfRule type="cellIs" dxfId="3435" priority="5632" operator="greaterThan">
      <formula>10000</formula>
    </cfRule>
    <cfRule type="cellIs" dxfId="3434" priority="5633" operator="greaterThanOrEqual">
      <formula>1500</formula>
    </cfRule>
    <cfRule type="cellIs" dxfId="3433" priority="5634" operator="greaterThanOrEqual">
      <formula>1475</formula>
    </cfRule>
    <cfRule type="cellIs" dxfId="3432" priority="5635" operator="greaterThanOrEqual">
      <formula>1450</formula>
    </cfRule>
    <cfRule type="cellIs" dxfId="3431" priority="5636" operator="greaterThanOrEqual">
      <formula>1400</formula>
    </cfRule>
  </conditionalFormatting>
  <conditionalFormatting sqref="K117">
    <cfRule type="cellIs" dxfId="3430" priority="5628" operator="greaterThan">
      <formula>10000</formula>
    </cfRule>
    <cfRule type="cellIs" dxfId="3429" priority="5629" operator="greaterThanOrEqual">
      <formula>1500</formula>
    </cfRule>
    <cfRule type="cellIs" dxfId="3428" priority="5630" operator="greaterThanOrEqual">
      <formula>1450</formula>
    </cfRule>
    <cfRule type="cellIs" dxfId="3427" priority="5631" operator="greaterThan">
      <formula>1400</formula>
    </cfRule>
  </conditionalFormatting>
  <conditionalFormatting sqref="K117">
    <cfRule type="cellIs" dxfId="3426" priority="5623" operator="greaterThan">
      <formula>10000</formula>
    </cfRule>
    <cfRule type="cellIs" dxfId="3425" priority="5624" operator="greaterThanOrEqual">
      <formula>1500</formula>
    </cfRule>
    <cfRule type="cellIs" dxfId="3424" priority="5625" operator="greaterThanOrEqual">
      <formula>1475</formula>
    </cfRule>
    <cfRule type="cellIs" dxfId="3423" priority="5626" operator="greaterThanOrEqual">
      <formula>1450</formula>
    </cfRule>
    <cfRule type="cellIs" dxfId="3422" priority="5627" operator="greaterThanOrEqual">
      <formula>1400</formula>
    </cfRule>
  </conditionalFormatting>
  <conditionalFormatting sqref="K119">
    <cfRule type="cellIs" dxfId="3421" priority="5619" operator="greaterThan">
      <formula>10000</formula>
    </cfRule>
    <cfRule type="cellIs" dxfId="3420" priority="5620" operator="greaterThanOrEqual">
      <formula>1500</formula>
    </cfRule>
    <cfRule type="cellIs" dxfId="3419" priority="5621" operator="greaterThanOrEqual">
      <formula>1450</formula>
    </cfRule>
    <cfRule type="cellIs" dxfId="3418" priority="5622" operator="greaterThan">
      <formula>1400</formula>
    </cfRule>
  </conditionalFormatting>
  <conditionalFormatting sqref="K119">
    <cfRule type="cellIs" dxfId="3417" priority="5614" operator="greaterThan">
      <formula>10000</formula>
    </cfRule>
    <cfRule type="cellIs" dxfId="3416" priority="5615" operator="greaterThanOrEqual">
      <formula>1500</formula>
    </cfRule>
    <cfRule type="cellIs" dxfId="3415" priority="5616" operator="greaterThanOrEqual">
      <formula>1475</formula>
    </cfRule>
    <cfRule type="cellIs" dxfId="3414" priority="5617" operator="greaterThanOrEqual">
      <formula>1450</formula>
    </cfRule>
    <cfRule type="cellIs" dxfId="3413" priority="5618" operator="greaterThanOrEqual">
      <formula>1400</formula>
    </cfRule>
  </conditionalFormatting>
  <conditionalFormatting sqref="K119">
    <cfRule type="cellIs" dxfId="3412" priority="5598" operator="greaterThan">
      <formula>10000</formula>
    </cfRule>
    <cfRule type="cellIs" dxfId="3411" priority="5599" operator="greaterThanOrEqual">
      <formula>1500</formula>
    </cfRule>
    <cfRule type="cellIs" dxfId="3410" priority="5600" operator="greaterThanOrEqual">
      <formula>1450</formula>
    </cfRule>
    <cfRule type="cellIs" dxfId="3409" priority="5601" operator="greaterThan">
      <formula>1400</formula>
    </cfRule>
  </conditionalFormatting>
  <conditionalFormatting sqref="K119">
    <cfRule type="cellIs" dxfId="3408" priority="5593" operator="greaterThan">
      <formula>10000</formula>
    </cfRule>
    <cfRule type="cellIs" dxfId="3407" priority="5594" operator="greaterThanOrEqual">
      <formula>1500</formula>
    </cfRule>
    <cfRule type="cellIs" dxfId="3406" priority="5595" operator="greaterThanOrEqual">
      <formula>1475</formula>
    </cfRule>
    <cfRule type="cellIs" dxfId="3405" priority="5596" operator="greaterThanOrEqual">
      <formula>1450</formula>
    </cfRule>
    <cfRule type="cellIs" dxfId="3404" priority="5597" operator="greaterThanOrEqual">
      <formula>1400</formula>
    </cfRule>
  </conditionalFormatting>
  <conditionalFormatting sqref="K119">
    <cfRule type="cellIs" dxfId="3403" priority="5589" operator="greaterThan">
      <formula>10000</formula>
    </cfRule>
    <cfRule type="cellIs" dxfId="3402" priority="5590" operator="greaterThanOrEqual">
      <formula>1500</formula>
    </cfRule>
    <cfRule type="cellIs" dxfId="3401" priority="5591" operator="greaterThanOrEqual">
      <formula>1450</formula>
    </cfRule>
    <cfRule type="cellIs" dxfId="3400" priority="5592" operator="greaterThan">
      <formula>1400</formula>
    </cfRule>
  </conditionalFormatting>
  <conditionalFormatting sqref="K119">
    <cfRule type="cellIs" dxfId="3399" priority="5584" operator="greaterThan">
      <formula>10000</formula>
    </cfRule>
    <cfRule type="cellIs" dxfId="3398" priority="5585" operator="greaterThanOrEqual">
      <formula>1500</formula>
    </cfRule>
    <cfRule type="cellIs" dxfId="3397" priority="5586" operator="greaterThanOrEqual">
      <formula>1475</formula>
    </cfRule>
    <cfRule type="cellIs" dxfId="3396" priority="5587" operator="greaterThanOrEqual">
      <formula>1450</formula>
    </cfRule>
    <cfRule type="cellIs" dxfId="3395" priority="5588" operator="greaterThanOrEqual">
      <formula>1400</formula>
    </cfRule>
  </conditionalFormatting>
  <conditionalFormatting sqref="K120">
    <cfRule type="cellIs" dxfId="3394" priority="5580" operator="greaterThan">
      <formula>10000</formula>
    </cfRule>
    <cfRule type="cellIs" dxfId="3393" priority="5581" operator="greaterThanOrEqual">
      <formula>1500</formula>
    </cfRule>
    <cfRule type="cellIs" dxfId="3392" priority="5582" operator="greaterThanOrEqual">
      <formula>1450</formula>
    </cfRule>
    <cfRule type="cellIs" dxfId="3391" priority="5583" operator="greaterThan">
      <formula>1400</formula>
    </cfRule>
  </conditionalFormatting>
  <conditionalFormatting sqref="K120">
    <cfRule type="cellIs" dxfId="3390" priority="5575" operator="greaterThan">
      <formula>10000</formula>
    </cfRule>
    <cfRule type="cellIs" dxfId="3389" priority="5576" operator="greaterThanOrEqual">
      <formula>1500</formula>
    </cfRule>
    <cfRule type="cellIs" dxfId="3388" priority="5577" operator="greaterThanOrEqual">
      <formula>1475</formula>
    </cfRule>
    <cfRule type="cellIs" dxfId="3387" priority="5578" operator="greaterThanOrEqual">
      <formula>1450</formula>
    </cfRule>
    <cfRule type="cellIs" dxfId="3386" priority="5579" operator="greaterThanOrEqual">
      <formula>1400</formula>
    </cfRule>
  </conditionalFormatting>
  <conditionalFormatting sqref="K120">
    <cfRule type="cellIs" dxfId="3385" priority="5559" operator="greaterThan">
      <formula>10000</formula>
    </cfRule>
    <cfRule type="cellIs" dxfId="3384" priority="5560" operator="greaterThanOrEqual">
      <formula>1500</formula>
    </cfRule>
    <cfRule type="cellIs" dxfId="3383" priority="5561" operator="greaterThanOrEqual">
      <formula>1450</formula>
    </cfRule>
    <cfRule type="cellIs" dxfId="3382" priority="5562" operator="greaterThan">
      <formula>1400</formula>
    </cfRule>
  </conditionalFormatting>
  <conditionalFormatting sqref="K120">
    <cfRule type="cellIs" dxfId="3381" priority="5554" operator="greaterThan">
      <formula>10000</formula>
    </cfRule>
    <cfRule type="cellIs" dxfId="3380" priority="5555" operator="greaterThanOrEqual">
      <formula>1500</formula>
    </cfRule>
    <cfRule type="cellIs" dxfId="3379" priority="5556" operator="greaterThanOrEqual">
      <formula>1475</formula>
    </cfRule>
    <cfRule type="cellIs" dxfId="3378" priority="5557" operator="greaterThanOrEqual">
      <formula>1450</formula>
    </cfRule>
    <cfRule type="cellIs" dxfId="3377" priority="5558" operator="greaterThanOrEqual">
      <formula>1400</formula>
    </cfRule>
  </conditionalFormatting>
  <conditionalFormatting sqref="K120">
    <cfRule type="cellIs" dxfId="3376" priority="5550" operator="greaterThan">
      <formula>10000</formula>
    </cfRule>
    <cfRule type="cellIs" dxfId="3375" priority="5551" operator="greaterThanOrEqual">
      <formula>1500</formula>
    </cfRule>
    <cfRule type="cellIs" dxfId="3374" priority="5552" operator="greaterThanOrEqual">
      <formula>1450</formula>
    </cfRule>
    <cfRule type="cellIs" dxfId="3373" priority="5553" operator="greaterThan">
      <formula>1400</formula>
    </cfRule>
  </conditionalFormatting>
  <conditionalFormatting sqref="K120">
    <cfRule type="cellIs" dxfId="3372" priority="5545" operator="greaterThan">
      <formula>10000</formula>
    </cfRule>
    <cfRule type="cellIs" dxfId="3371" priority="5546" operator="greaterThanOrEqual">
      <formula>1500</formula>
    </cfRule>
    <cfRule type="cellIs" dxfId="3370" priority="5547" operator="greaterThanOrEqual">
      <formula>1475</formula>
    </cfRule>
    <cfRule type="cellIs" dxfId="3369" priority="5548" operator="greaterThanOrEqual">
      <formula>1450</formula>
    </cfRule>
    <cfRule type="cellIs" dxfId="3368" priority="5549" operator="greaterThanOrEqual">
      <formula>1400</formula>
    </cfRule>
  </conditionalFormatting>
  <conditionalFormatting sqref="K122">
    <cfRule type="cellIs" dxfId="3367" priority="5541" operator="greaterThan">
      <formula>10000</formula>
    </cfRule>
    <cfRule type="cellIs" dxfId="3366" priority="5542" operator="greaterThanOrEqual">
      <formula>1500</formula>
    </cfRule>
    <cfRule type="cellIs" dxfId="3365" priority="5543" operator="greaterThanOrEqual">
      <formula>1450</formula>
    </cfRule>
    <cfRule type="cellIs" dxfId="3364" priority="5544" operator="greaterThan">
      <formula>1400</formula>
    </cfRule>
  </conditionalFormatting>
  <conditionalFormatting sqref="K122">
    <cfRule type="cellIs" dxfId="3363" priority="5536" operator="greaterThan">
      <formula>10000</formula>
    </cfRule>
    <cfRule type="cellIs" dxfId="3362" priority="5537" operator="greaterThanOrEqual">
      <formula>1500</formula>
    </cfRule>
    <cfRule type="cellIs" dxfId="3361" priority="5538" operator="greaterThanOrEqual">
      <formula>1475</formula>
    </cfRule>
    <cfRule type="cellIs" dxfId="3360" priority="5539" operator="greaterThanOrEqual">
      <formula>1450</formula>
    </cfRule>
    <cfRule type="cellIs" dxfId="3359" priority="5540" operator="greaterThanOrEqual">
      <formula>1400</formula>
    </cfRule>
  </conditionalFormatting>
  <conditionalFormatting sqref="K122">
    <cfRule type="cellIs" dxfId="3358" priority="5520" operator="greaterThan">
      <formula>10000</formula>
    </cfRule>
    <cfRule type="cellIs" dxfId="3357" priority="5521" operator="greaterThanOrEqual">
      <formula>1500</formula>
    </cfRule>
    <cfRule type="cellIs" dxfId="3356" priority="5522" operator="greaterThanOrEqual">
      <formula>1450</formula>
    </cfRule>
    <cfRule type="cellIs" dxfId="3355" priority="5523" operator="greaterThan">
      <formula>1400</formula>
    </cfRule>
  </conditionalFormatting>
  <conditionalFormatting sqref="K122">
    <cfRule type="cellIs" dxfId="3354" priority="5515" operator="greaterThan">
      <formula>10000</formula>
    </cfRule>
    <cfRule type="cellIs" dxfId="3353" priority="5516" operator="greaterThanOrEqual">
      <formula>1500</formula>
    </cfRule>
    <cfRule type="cellIs" dxfId="3352" priority="5517" operator="greaterThanOrEqual">
      <formula>1475</formula>
    </cfRule>
    <cfRule type="cellIs" dxfId="3351" priority="5518" operator="greaterThanOrEqual">
      <formula>1450</formula>
    </cfRule>
    <cfRule type="cellIs" dxfId="3350" priority="5519" operator="greaterThanOrEqual">
      <formula>1400</formula>
    </cfRule>
  </conditionalFormatting>
  <conditionalFormatting sqref="K122">
    <cfRule type="cellIs" dxfId="3349" priority="5511" operator="greaterThan">
      <formula>10000</formula>
    </cfRule>
    <cfRule type="cellIs" dxfId="3348" priority="5512" operator="greaterThanOrEqual">
      <formula>1500</formula>
    </cfRule>
    <cfRule type="cellIs" dxfId="3347" priority="5513" operator="greaterThanOrEqual">
      <formula>1450</formula>
    </cfRule>
    <cfRule type="cellIs" dxfId="3346" priority="5514" operator="greaterThan">
      <formula>1400</formula>
    </cfRule>
  </conditionalFormatting>
  <conditionalFormatting sqref="K122">
    <cfRule type="cellIs" dxfId="3345" priority="5506" operator="greaterThan">
      <formula>10000</formula>
    </cfRule>
    <cfRule type="cellIs" dxfId="3344" priority="5507" operator="greaterThanOrEqual">
      <formula>1500</formula>
    </cfRule>
    <cfRule type="cellIs" dxfId="3343" priority="5508" operator="greaterThanOrEqual">
      <formula>1475</formula>
    </cfRule>
    <cfRule type="cellIs" dxfId="3342" priority="5509" operator="greaterThanOrEqual">
      <formula>1450</formula>
    </cfRule>
    <cfRule type="cellIs" dxfId="3341" priority="5510" operator="greaterThanOrEqual">
      <formula>1400</formula>
    </cfRule>
  </conditionalFormatting>
  <conditionalFormatting sqref="K124">
    <cfRule type="cellIs" dxfId="3340" priority="5502" operator="greaterThan">
      <formula>10000</formula>
    </cfRule>
    <cfRule type="cellIs" dxfId="3339" priority="5503" operator="greaterThanOrEqual">
      <formula>1500</formula>
    </cfRule>
    <cfRule type="cellIs" dxfId="3338" priority="5504" operator="greaterThanOrEqual">
      <formula>1450</formula>
    </cfRule>
    <cfRule type="cellIs" dxfId="3337" priority="5505" operator="greaterThan">
      <formula>1400</formula>
    </cfRule>
  </conditionalFormatting>
  <conditionalFormatting sqref="K124">
    <cfRule type="cellIs" dxfId="3336" priority="5497" operator="greaterThan">
      <formula>10000</formula>
    </cfRule>
    <cfRule type="cellIs" dxfId="3335" priority="5498" operator="greaterThanOrEqual">
      <formula>1500</formula>
    </cfRule>
    <cfRule type="cellIs" dxfId="3334" priority="5499" operator="greaterThanOrEqual">
      <formula>1475</formula>
    </cfRule>
    <cfRule type="cellIs" dxfId="3333" priority="5500" operator="greaterThanOrEqual">
      <formula>1450</formula>
    </cfRule>
    <cfRule type="cellIs" dxfId="3332" priority="5501" operator="greaterThanOrEqual">
      <formula>1400</formula>
    </cfRule>
  </conditionalFormatting>
  <conditionalFormatting sqref="K124">
    <cfRule type="cellIs" dxfId="3331" priority="5481" operator="greaterThan">
      <formula>10000</formula>
    </cfRule>
    <cfRule type="cellIs" dxfId="3330" priority="5482" operator="greaterThanOrEqual">
      <formula>1500</formula>
    </cfRule>
    <cfRule type="cellIs" dxfId="3329" priority="5483" operator="greaterThanOrEqual">
      <formula>1450</formula>
    </cfRule>
    <cfRule type="cellIs" dxfId="3328" priority="5484" operator="greaterThan">
      <formula>1400</formula>
    </cfRule>
  </conditionalFormatting>
  <conditionalFormatting sqref="K124">
    <cfRule type="cellIs" dxfId="3327" priority="5476" operator="greaterThan">
      <formula>10000</formula>
    </cfRule>
    <cfRule type="cellIs" dxfId="3326" priority="5477" operator="greaterThanOrEqual">
      <formula>1500</formula>
    </cfRule>
    <cfRule type="cellIs" dxfId="3325" priority="5478" operator="greaterThanOrEqual">
      <formula>1475</formula>
    </cfRule>
    <cfRule type="cellIs" dxfId="3324" priority="5479" operator="greaterThanOrEqual">
      <formula>1450</formula>
    </cfRule>
    <cfRule type="cellIs" dxfId="3323" priority="5480" operator="greaterThanOrEqual">
      <formula>1400</formula>
    </cfRule>
  </conditionalFormatting>
  <conditionalFormatting sqref="K124">
    <cfRule type="cellIs" dxfId="3322" priority="5472" operator="greaterThan">
      <formula>10000</formula>
    </cfRule>
    <cfRule type="cellIs" dxfId="3321" priority="5473" operator="greaterThanOrEqual">
      <formula>1500</formula>
    </cfRule>
    <cfRule type="cellIs" dxfId="3320" priority="5474" operator="greaterThanOrEqual">
      <formula>1450</formula>
    </cfRule>
    <cfRule type="cellIs" dxfId="3319" priority="5475" operator="greaterThan">
      <formula>1400</formula>
    </cfRule>
  </conditionalFormatting>
  <conditionalFormatting sqref="K124">
    <cfRule type="cellIs" dxfId="3318" priority="5467" operator="greaterThan">
      <formula>10000</formula>
    </cfRule>
    <cfRule type="cellIs" dxfId="3317" priority="5468" operator="greaterThanOrEqual">
      <formula>1500</formula>
    </cfRule>
    <cfRule type="cellIs" dxfId="3316" priority="5469" operator="greaterThanOrEqual">
      <formula>1475</formula>
    </cfRule>
    <cfRule type="cellIs" dxfId="3315" priority="5470" operator="greaterThanOrEqual">
      <formula>1450</formula>
    </cfRule>
    <cfRule type="cellIs" dxfId="3314" priority="5471" operator="greaterThanOrEqual">
      <formula>1400</formula>
    </cfRule>
  </conditionalFormatting>
  <conditionalFormatting sqref="K115">
    <cfRule type="cellIs" dxfId="3313" priority="5463" operator="greaterThan">
      <formula>10000</formula>
    </cfRule>
    <cfRule type="cellIs" dxfId="3312" priority="5464" operator="greaterThanOrEqual">
      <formula>1500</formula>
    </cfRule>
    <cfRule type="cellIs" dxfId="3311" priority="5465" operator="greaterThanOrEqual">
      <formula>1450</formula>
    </cfRule>
    <cfRule type="cellIs" dxfId="3310" priority="5466" operator="greaterThan">
      <formula>1400</formula>
    </cfRule>
  </conditionalFormatting>
  <conditionalFormatting sqref="K115">
    <cfRule type="cellIs" dxfId="3309" priority="5458" operator="greaterThan">
      <formula>10000</formula>
    </cfRule>
    <cfRule type="cellIs" dxfId="3308" priority="5459" operator="greaterThanOrEqual">
      <formula>1500</formula>
    </cfRule>
    <cfRule type="cellIs" dxfId="3307" priority="5460" operator="greaterThanOrEqual">
      <formula>1475</formula>
    </cfRule>
    <cfRule type="cellIs" dxfId="3306" priority="5461" operator="greaterThanOrEqual">
      <formula>1450</formula>
    </cfRule>
    <cfRule type="cellIs" dxfId="3305" priority="5462" operator="greaterThanOrEqual">
      <formula>1400</formula>
    </cfRule>
  </conditionalFormatting>
  <conditionalFormatting sqref="K115">
    <cfRule type="cellIs" dxfId="3304" priority="5442" operator="greaterThan">
      <formula>10000</formula>
    </cfRule>
    <cfRule type="cellIs" dxfId="3303" priority="5443" operator="greaterThanOrEqual">
      <formula>1500</formula>
    </cfRule>
    <cfRule type="cellIs" dxfId="3302" priority="5444" operator="greaterThanOrEqual">
      <formula>1450</formula>
    </cfRule>
    <cfRule type="cellIs" dxfId="3301" priority="5445" operator="greaterThan">
      <formula>1400</formula>
    </cfRule>
  </conditionalFormatting>
  <conditionalFormatting sqref="K115">
    <cfRule type="cellIs" dxfId="3300" priority="5437" operator="greaterThan">
      <formula>10000</formula>
    </cfRule>
    <cfRule type="cellIs" dxfId="3299" priority="5438" operator="greaterThanOrEqual">
      <formula>1500</formula>
    </cfRule>
    <cfRule type="cellIs" dxfId="3298" priority="5439" operator="greaterThanOrEqual">
      <formula>1475</formula>
    </cfRule>
    <cfRule type="cellIs" dxfId="3297" priority="5440" operator="greaterThanOrEqual">
      <formula>1450</formula>
    </cfRule>
    <cfRule type="cellIs" dxfId="3296" priority="5441" operator="greaterThanOrEqual">
      <formula>1400</formula>
    </cfRule>
  </conditionalFormatting>
  <conditionalFormatting sqref="K115">
    <cfRule type="cellIs" dxfId="3295" priority="5433" operator="greaterThan">
      <formula>10000</formula>
    </cfRule>
    <cfRule type="cellIs" dxfId="3294" priority="5434" operator="greaterThanOrEqual">
      <formula>1500</formula>
    </cfRule>
    <cfRule type="cellIs" dxfId="3293" priority="5435" operator="greaterThanOrEqual">
      <formula>1450</formula>
    </cfRule>
    <cfRule type="cellIs" dxfId="3292" priority="5436" operator="greaterThan">
      <formula>1400</formula>
    </cfRule>
  </conditionalFormatting>
  <conditionalFormatting sqref="K115">
    <cfRule type="cellIs" dxfId="3291" priority="5428" operator="greaterThan">
      <formula>10000</formula>
    </cfRule>
    <cfRule type="cellIs" dxfId="3290" priority="5429" operator="greaterThanOrEqual">
      <formula>1500</formula>
    </cfRule>
    <cfRule type="cellIs" dxfId="3289" priority="5430" operator="greaterThanOrEqual">
      <formula>1475</formula>
    </cfRule>
    <cfRule type="cellIs" dxfId="3288" priority="5431" operator="greaterThanOrEqual">
      <formula>1450</formula>
    </cfRule>
    <cfRule type="cellIs" dxfId="3287" priority="5432" operator="greaterThanOrEqual">
      <formula>1400</formula>
    </cfRule>
  </conditionalFormatting>
  <conditionalFormatting sqref="K114">
    <cfRule type="cellIs" dxfId="3286" priority="5424" operator="greaterThan">
      <formula>10000</formula>
    </cfRule>
    <cfRule type="cellIs" dxfId="3285" priority="5425" operator="greaterThanOrEqual">
      <formula>1500</formula>
    </cfRule>
    <cfRule type="cellIs" dxfId="3284" priority="5426" operator="greaterThanOrEqual">
      <formula>1450</formula>
    </cfRule>
    <cfRule type="cellIs" dxfId="3283" priority="5427" operator="greaterThan">
      <formula>1400</formula>
    </cfRule>
  </conditionalFormatting>
  <conditionalFormatting sqref="K114">
    <cfRule type="cellIs" dxfId="3282" priority="5419" operator="greaterThan">
      <formula>10000</formula>
    </cfRule>
    <cfRule type="cellIs" dxfId="3281" priority="5420" operator="greaterThanOrEqual">
      <formula>1500</formula>
    </cfRule>
    <cfRule type="cellIs" dxfId="3280" priority="5421" operator="greaterThanOrEqual">
      <formula>1475</formula>
    </cfRule>
    <cfRule type="cellIs" dxfId="3279" priority="5422" operator="greaterThanOrEqual">
      <formula>1450</formula>
    </cfRule>
    <cfRule type="cellIs" dxfId="3278" priority="5423" operator="greaterThanOrEqual">
      <formula>1400</formula>
    </cfRule>
  </conditionalFormatting>
  <conditionalFormatting sqref="K114">
    <cfRule type="cellIs" dxfId="3277" priority="5403" operator="greaterThan">
      <formula>10000</formula>
    </cfRule>
    <cfRule type="cellIs" dxfId="3276" priority="5404" operator="greaterThanOrEqual">
      <formula>1500</formula>
    </cfRule>
    <cfRule type="cellIs" dxfId="3275" priority="5405" operator="greaterThanOrEqual">
      <formula>1450</formula>
    </cfRule>
    <cfRule type="cellIs" dxfId="3274" priority="5406" operator="greaterThan">
      <formula>1400</formula>
    </cfRule>
  </conditionalFormatting>
  <conditionalFormatting sqref="K114">
    <cfRule type="cellIs" dxfId="3273" priority="5398" operator="greaterThan">
      <formula>10000</formula>
    </cfRule>
    <cfRule type="cellIs" dxfId="3272" priority="5399" operator="greaterThanOrEqual">
      <formula>1500</formula>
    </cfRule>
    <cfRule type="cellIs" dxfId="3271" priority="5400" operator="greaterThanOrEqual">
      <formula>1475</formula>
    </cfRule>
    <cfRule type="cellIs" dxfId="3270" priority="5401" operator="greaterThanOrEqual">
      <formula>1450</formula>
    </cfRule>
    <cfRule type="cellIs" dxfId="3269" priority="5402" operator="greaterThanOrEqual">
      <formula>1400</formula>
    </cfRule>
  </conditionalFormatting>
  <conditionalFormatting sqref="K114">
    <cfRule type="cellIs" dxfId="3268" priority="5394" operator="greaterThan">
      <formula>10000</formula>
    </cfRule>
    <cfRule type="cellIs" dxfId="3267" priority="5395" operator="greaterThanOrEqual">
      <formula>1500</formula>
    </cfRule>
    <cfRule type="cellIs" dxfId="3266" priority="5396" operator="greaterThanOrEqual">
      <formula>1450</formula>
    </cfRule>
    <cfRule type="cellIs" dxfId="3265" priority="5397" operator="greaterThan">
      <formula>1400</formula>
    </cfRule>
  </conditionalFormatting>
  <conditionalFormatting sqref="K114">
    <cfRule type="cellIs" dxfId="3264" priority="5389" operator="greaterThan">
      <formula>10000</formula>
    </cfRule>
    <cfRule type="cellIs" dxfId="3263" priority="5390" operator="greaterThanOrEqual">
      <formula>1500</formula>
    </cfRule>
    <cfRule type="cellIs" dxfId="3262" priority="5391" operator="greaterThanOrEqual">
      <formula>1475</formula>
    </cfRule>
    <cfRule type="cellIs" dxfId="3261" priority="5392" operator="greaterThanOrEqual">
      <formula>1450</formula>
    </cfRule>
    <cfRule type="cellIs" dxfId="3260" priority="5393" operator="greaterThanOrEqual">
      <formula>1400</formula>
    </cfRule>
  </conditionalFormatting>
  <conditionalFormatting sqref="K113">
    <cfRule type="cellIs" dxfId="3259" priority="5385" operator="greaterThan">
      <formula>10000</formula>
    </cfRule>
    <cfRule type="cellIs" dxfId="3258" priority="5386" operator="greaterThanOrEqual">
      <formula>1500</formula>
    </cfRule>
    <cfRule type="cellIs" dxfId="3257" priority="5387" operator="greaterThanOrEqual">
      <formula>1450</formula>
    </cfRule>
    <cfRule type="cellIs" dxfId="3256" priority="5388" operator="greaterThan">
      <formula>1400</formula>
    </cfRule>
  </conditionalFormatting>
  <conditionalFormatting sqref="K113">
    <cfRule type="cellIs" dxfId="3255" priority="5380" operator="greaterThan">
      <formula>10000</formula>
    </cfRule>
    <cfRule type="cellIs" dxfId="3254" priority="5381" operator="greaterThanOrEqual">
      <formula>1500</formula>
    </cfRule>
    <cfRule type="cellIs" dxfId="3253" priority="5382" operator="greaterThanOrEqual">
      <formula>1475</formula>
    </cfRule>
    <cfRule type="cellIs" dxfId="3252" priority="5383" operator="greaterThanOrEqual">
      <formula>1450</formula>
    </cfRule>
    <cfRule type="cellIs" dxfId="3251" priority="5384" operator="greaterThanOrEqual">
      <formula>1400</formula>
    </cfRule>
  </conditionalFormatting>
  <conditionalFormatting sqref="K113">
    <cfRule type="cellIs" dxfId="3250" priority="5364" operator="greaterThan">
      <formula>10000</formula>
    </cfRule>
    <cfRule type="cellIs" dxfId="3249" priority="5365" operator="greaterThanOrEqual">
      <formula>1500</formula>
    </cfRule>
    <cfRule type="cellIs" dxfId="3248" priority="5366" operator="greaterThanOrEqual">
      <formula>1450</formula>
    </cfRule>
    <cfRule type="cellIs" dxfId="3247" priority="5367" operator="greaterThan">
      <formula>1400</formula>
    </cfRule>
  </conditionalFormatting>
  <conditionalFormatting sqref="K113">
    <cfRule type="cellIs" dxfId="3246" priority="5359" operator="greaterThan">
      <formula>10000</formula>
    </cfRule>
    <cfRule type="cellIs" dxfId="3245" priority="5360" operator="greaterThanOrEqual">
      <formula>1500</formula>
    </cfRule>
    <cfRule type="cellIs" dxfId="3244" priority="5361" operator="greaterThanOrEqual">
      <formula>1475</formula>
    </cfRule>
    <cfRule type="cellIs" dxfId="3243" priority="5362" operator="greaterThanOrEqual">
      <formula>1450</formula>
    </cfRule>
    <cfRule type="cellIs" dxfId="3242" priority="5363" operator="greaterThanOrEqual">
      <formula>1400</formula>
    </cfRule>
  </conditionalFormatting>
  <conditionalFormatting sqref="K113">
    <cfRule type="cellIs" dxfId="3241" priority="5355" operator="greaterThan">
      <formula>10000</formula>
    </cfRule>
    <cfRule type="cellIs" dxfId="3240" priority="5356" operator="greaterThanOrEqual">
      <formula>1500</formula>
    </cfRule>
    <cfRule type="cellIs" dxfId="3239" priority="5357" operator="greaterThanOrEqual">
      <formula>1450</formula>
    </cfRule>
    <cfRule type="cellIs" dxfId="3238" priority="5358" operator="greaterThan">
      <formula>1400</formula>
    </cfRule>
  </conditionalFormatting>
  <conditionalFormatting sqref="K113">
    <cfRule type="cellIs" dxfId="3237" priority="5350" operator="greaterThan">
      <formula>10000</formula>
    </cfRule>
    <cfRule type="cellIs" dxfId="3236" priority="5351" operator="greaterThanOrEqual">
      <formula>1500</formula>
    </cfRule>
    <cfRule type="cellIs" dxfId="3235" priority="5352" operator="greaterThanOrEqual">
      <formula>1475</formula>
    </cfRule>
    <cfRule type="cellIs" dxfId="3234" priority="5353" operator="greaterThanOrEqual">
      <formula>1450</formula>
    </cfRule>
    <cfRule type="cellIs" dxfId="3233" priority="5354" operator="greaterThanOrEqual">
      <formula>1400</formula>
    </cfRule>
  </conditionalFormatting>
  <conditionalFormatting sqref="K112">
    <cfRule type="cellIs" dxfId="3232" priority="5346" operator="greaterThan">
      <formula>10000</formula>
    </cfRule>
    <cfRule type="cellIs" dxfId="3231" priority="5347" operator="greaterThanOrEqual">
      <formula>1500</formula>
    </cfRule>
    <cfRule type="cellIs" dxfId="3230" priority="5348" operator="greaterThanOrEqual">
      <formula>1450</formula>
    </cfRule>
    <cfRule type="cellIs" dxfId="3229" priority="5349" operator="greaterThan">
      <formula>1400</formula>
    </cfRule>
  </conditionalFormatting>
  <conditionalFormatting sqref="K112">
    <cfRule type="cellIs" dxfId="3228" priority="5341" operator="greaterThan">
      <formula>10000</formula>
    </cfRule>
    <cfRule type="cellIs" dxfId="3227" priority="5342" operator="greaterThanOrEqual">
      <formula>1500</formula>
    </cfRule>
    <cfRule type="cellIs" dxfId="3226" priority="5343" operator="greaterThanOrEqual">
      <formula>1475</formula>
    </cfRule>
    <cfRule type="cellIs" dxfId="3225" priority="5344" operator="greaterThanOrEqual">
      <formula>1450</formula>
    </cfRule>
    <cfRule type="cellIs" dxfId="3224" priority="5345" operator="greaterThanOrEqual">
      <formula>1400</formula>
    </cfRule>
  </conditionalFormatting>
  <conditionalFormatting sqref="K112">
    <cfRule type="cellIs" dxfId="3223" priority="5325" operator="greaterThan">
      <formula>10000</formula>
    </cfRule>
    <cfRule type="cellIs" dxfId="3222" priority="5326" operator="greaterThanOrEqual">
      <formula>1500</formula>
    </cfRule>
    <cfRule type="cellIs" dxfId="3221" priority="5327" operator="greaterThanOrEqual">
      <formula>1450</formula>
    </cfRule>
    <cfRule type="cellIs" dxfId="3220" priority="5328" operator="greaterThan">
      <formula>1400</formula>
    </cfRule>
  </conditionalFormatting>
  <conditionalFormatting sqref="K112">
    <cfRule type="cellIs" dxfId="3219" priority="5320" operator="greaterThan">
      <formula>10000</formula>
    </cfRule>
    <cfRule type="cellIs" dxfId="3218" priority="5321" operator="greaterThanOrEqual">
      <formula>1500</formula>
    </cfRule>
    <cfRule type="cellIs" dxfId="3217" priority="5322" operator="greaterThanOrEqual">
      <formula>1475</formula>
    </cfRule>
    <cfRule type="cellIs" dxfId="3216" priority="5323" operator="greaterThanOrEqual">
      <formula>1450</formula>
    </cfRule>
    <cfRule type="cellIs" dxfId="3215" priority="5324" operator="greaterThanOrEqual">
      <formula>1400</formula>
    </cfRule>
  </conditionalFormatting>
  <conditionalFormatting sqref="K112">
    <cfRule type="cellIs" dxfId="3214" priority="5316" operator="greaterThan">
      <formula>10000</formula>
    </cfRule>
    <cfRule type="cellIs" dxfId="3213" priority="5317" operator="greaterThanOrEqual">
      <formula>1500</formula>
    </cfRule>
    <cfRule type="cellIs" dxfId="3212" priority="5318" operator="greaterThanOrEqual">
      <formula>1450</formula>
    </cfRule>
    <cfRule type="cellIs" dxfId="3211" priority="5319" operator="greaterThan">
      <formula>1400</formula>
    </cfRule>
  </conditionalFormatting>
  <conditionalFormatting sqref="K112">
    <cfRule type="cellIs" dxfId="3210" priority="5311" operator="greaterThan">
      <formula>10000</formula>
    </cfRule>
    <cfRule type="cellIs" dxfId="3209" priority="5312" operator="greaterThanOrEqual">
      <formula>1500</formula>
    </cfRule>
    <cfRule type="cellIs" dxfId="3208" priority="5313" operator="greaterThanOrEqual">
      <formula>1475</formula>
    </cfRule>
    <cfRule type="cellIs" dxfId="3207" priority="5314" operator="greaterThanOrEqual">
      <formula>1450</formula>
    </cfRule>
    <cfRule type="cellIs" dxfId="3206" priority="5315" operator="greaterThanOrEqual">
      <formula>1400</formula>
    </cfRule>
  </conditionalFormatting>
  <conditionalFormatting sqref="K111">
    <cfRule type="cellIs" dxfId="3205" priority="5307" operator="greaterThan">
      <formula>10000</formula>
    </cfRule>
    <cfRule type="cellIs" dxfId="3204" priority="5308" operator="greaterThanOrEqual">
      <formula>1500</formula>
    </cfRule>
    <cfRule type="cellIs" dxfId="3203" priority="5309" operator="greaterThanOrEqual">
      <formula>1450</formula>
    </cfRule>
    <cfRule type="cellIs" dxfId="3202" priority="5310" operator="greaterThan">
      <formula>1400</formula>
    </cfRule>
  </conditionalFormatting>
  <conditionalFormatting sqref="K111">
    <cfRule type="cellIs" dxfId="3201" priority="5302" operator="greaterThan">
      <formula>10000</formula>
    </cfRule>
    <cfRule type="cellIs" dxfId="3200" priority="5303" operator="greaterThanOrEqual">
      <formula>1500</formula>
    </cfRule>
    <cfRule type="cellIs" dxfId="3199" priority="5304" operator="greaterThanOrEqual">
      <formula>1475</formula>
    </cfRule>
    <cfRule type="cellIs" dxfId="3198" priority="5305" operator="greaterThanOrEqual">
      <formula>1450</formula>
    </cfRule>
    <cfRule type="cellIs" dxfId="3197" priority="5306" operator="greaterThanOrEqual">
      <formula>1400</formula>
    </cfRule>
  </conditionalFormatting>
  <conditionalFormatting sqref="K111">
    <cfRule type="cellIs" dxfId="3196" priority="5286" operator="greaterThan">
      <formula>10000</formula>
    </cfRule>
    <cfRule type="cellIs" dxfId="3195" priority="5287" operator="greaterThanOrEqual">
      <formula>1500</formula>
    </cfRule>
    <cfRule type="cellIs" dxfId="3194" priority="5288" operator="greaterThanOrEqual">
      <formula>1450</formula>
    </cfRule>
    <cfRule type="cellIs" dxfId="3193" priority="5289" operator="greaterThan">
      <formula>1400</formula>
    </cfRule>
  </conditionalFormatting>
  <conditionalFormatting sqref="K111">
    <cfRule type="cellIs" dxfId="3192" priority="5281" operator="greaterThan">
      <formula>10000</formula>
    </cfRule>
    <cfRule type="cellIs" dxfId="3191" priority="5282" operator="greaterThanOrEqual">
      <formula>1500</formula>
    </cfRule>
    <cfRule type="cellIs" dxfId="3190" priority="5283" operator="greaterThanOrEqual">
      <formula>1475</formula>
    </cfRule>
    <cfRule type="cellIs" dxfId="3189" priority="5284" operator="greaterThanOrEqual">
      <formula>1450</formula>
    </cfRule>
    <cfRule type="cellIs" dxfId="3188" priority="5285" operator="greaterThanOrEqual">
      <formula>1400</formula>
    </cfRule>
  </conditionalFormatting>
  <conditionalFormatting sqref="K111">
    <cfRule type="cellIs" dxfId="3187" priority="5277" operator="greaterThan">
      <formula>10000</formula>
    </cfRule>
    <cfRule type="cellIs" dxfId="3186" priority="5278" operator="greaterThanOrEqual">
      <formula>1500</formula>
    </cfRule>
    <cfRule type="cellIs" dxfId="3185" priority="5279" operator="greaterThanOrEqual">
      <formula>1450</formula>
    </cfRule>
    <cfRule type="cellIs" dxfId="3184" priority="5280" operator="greaterThan">
      <formula>1400</formula>
    </cfRule>
  </conditionalFormatting>
  <conditionalFormatting sqref="K111">
    <cfRule type="cellIs" dxfId="3183" priority="5272" operator="greaterThan">
      <formula>10000</formula>
    </cfRule>
    <cfRule type="cellIs" dxfId="3182" priority="5273" operator="greaterThanOrEqual">
      <formula>1500</formula>
    </cfRule>
    <cfRule type="cellIs" dxfId="3181" priority="5274" operator="greaterThanOrEqual">
      <formula>1475</formula>
    </cfRule>
    <cfRule type="cellIs" dxfId="3180" priority="5275" operator="greaterThanOrEqual">
      <formula>1450</formula>
    </cfRule>
    <cfRule type="cellIs" dxfId="3179" priority="5276" operator="greaterThanOrEqual">
      <formula>1400</formula>
    </cfRule>
  </conditionalFormatting>
  <conditionalFormatting sqref="K110">
    <cfRule type="cellIs" dxfId="3178" priority="5268" operator="greaterThan">
      <formula>10000</formula>
    </cfRule>
    <cfRule type="cellIs" dxfId="3177" priority="5269" operator="greaterThanOrEqual">
      <formula>1500</formula>
    </cfRule>
    <cfRule type="cellIs" dxfId="3176" priority="5270" operator="greaterThanOrEqual">
      <formula>1450</formula>
    </cfRule>
    <cfRule type="cellIs" dxfId="3175" priority="5271" operator="greaterThan">
      <formula>1400</formula>
    </cfRule>
  </conditionalFormatting>
  <conditionalFormatting sqref="K110">
    <cfRule type="cellIs" dxfId="3174" priority="5263" operator="greaterThan">
      <formula>10000</formula>
    </cfRule>
    <cfRule type="cellIs" dxfId="3173" priority="5264" operator="greaterThanOrEqual">
      <formula>1500</formula>
    </cfRule>
    <cfRule type="cellIs" dxfId="3172" priority="5265" operator="greaterThanOrEqual">
      <formula>1475</formula>
    </cfRule>
    <cfRule type="cellIs" dxfId="3171" priority="5266" operator="greaterThanOrEqual">
      <formula>1450</formula>
    </cfRule>
    <cfRule type="cellIs" dxfId="3170" priority="5267" operator="greaterThanOrEqual">
      <formula>1400</formula>
    </cfRule>
  </conditionalFormatting>
  <conditionalFormatting sqref="K110">
    <cfRule type="cellIs" dxfId="3169" priority="5247" operator="greaterThan">
      <formula>10000</formula>
    </cfRule>
    <cfRule type="cellIs" dxfId="3168" priority="5248" operator="greaterThanOrEqual">
      <formula>1500</formula>
    </cfRule>
    <cfRule type="cellIs" dxfId="3167" priority="5249" operator="greaterThanOrEqual">
      <formula>1450</formula>
    </cfRule>
    <cfRule type="cellIs" dxfId="3166" priority="5250" operator="greaterThan">
      <formula>1400</formula>
    </cfRule>
  </conditionalFormatting>
  <conditionalFormatting sqref="K110">
    <cfRule type="cellIs" dxfId="3165" priority="5242" operator="greaterThan">
      <formula>10000</formula>
    </cfRule>
    <cfRule type="cellIs" dxfId="3164" priority="5243" operator="greaterThanOrEqual">
      <formula>1500</formula>
    </cfRule>
    <cfRule type="cellIs" dxfId="3163" priority="5244" operator="greaterThanOrEqual">
      <formula>1475</formula>
    </cfRule>
    <cfRule type="cellIs" dxfId="3162" priority="5245" operator="greaterThanOrEqual">
      <formula>1450</formula>
    </cfRule>
    <cfRule type="cellIs" dxfId="3161" priority="5246" operator="greaterThanOrEqual">
      <formula>1400</formula>
    </cfRule>
  </conditionalFormatting>
  <conditionalFormatting sqref="K110">
    <cfRule type="cellIs" dxfId="3160" priority="5238" operator="greaterThan">
      <formula>10000</formula>
    </cfRule>
    <cfRule type="cellIs" dxfId="3159" priority="5239" operator="greaterThanOrEqual">
      <formula>1500</formula>
    </cfRule>
    <cfRule type="cellIs" dxfId="3158" priority="5240" operator="greaterThanOrEqual">
      <formula>1450</formula>
    </cfRule>
    <cfRule type="cellIs" dxfId="3157" priority="5241" operator="greaterThan">
      <formula>1400</formula>
    </cfRule>
  </conditionalFormatting>
  <conditionalFormatting sqref="K110">
    <cfRule type="cellIs" dxfId="3156" priority="5233" operator="greaterThan">
      <formula>10000</formula>
    </cfRule>
    <cfRule type="cellIs" dxfId="3155" priority="5234" operator="greaterThanOrEqual">
      <formula>1500</formula>
    </cfRule>
    <cfRule type="cellIs" dxfId="3154" priority="5235" operator="greaterThanOrEqual">
      <formula>1475</formula>
    </cfRule>
    <cfRule type="cellIs" dxfId="3153" priority="5236" operator="greaterThanOrEqual">
      <formula>1450</formula>
    </cfRule>
    <cfRule type="cellIs" dxfId="3152" priority="5237" operator="greaterThanOrEqual">
      <formula>1400</formula>
    </cfRule>
  </conditionalFormatting>
  <conditionalFormatting sqref="K101">
    <cfRule type="cellIs" dxfId="3151" priority="5229" operator="greaterThan">
      <formula>10000</formula>
    </cfRule>
    <cfRule type="cellIs" dxfId="3150" priority="5230" operator="greaterThanOrEqual">
      <formula>1500</formula>
    </cfRule>
    <cfRule type="cellIs" dxfId="3149" priority="5231" operator="greaterThanOrEqual">
      <formula>1450</formula>
    </cfRule>
    <cfRule type="cellIs" dxfId="3148" priority="5232" operator="greaterThan">
      <formula>1400</formula>
    </cfRule>
  </conditionalFormatting>
  <conditionalFormatting sqref="K101">
    <cfRule type="cellIs" dxfId="3147" priority="5224" operator="greaterThan">
      <formula>10000</formula>
    </cfRule>
    <cfRule type="cellIs" dxfId="3146" priority="5225" operator="greaterThanOrEqual">
      <formula>1500</formula>
    </cfRule>
    <cfRule type="cellIs" dxfId="3145" priority="5226" operator="greaterThanOrEqual">
      <formula>1475</formula>
    </cfRule>
    <cfRule type="cellIs" dxfId="3144" priority="5227" operator="greaterThanOrEqual">
      <formula>1450</formula>
    </cfRule>
    <cfRule type="cellIs" dxfId="3143" priority="5228" operator="greaterThanOrEqual">
      <formula>1400</formula>
    </cfRule>
  </conditionalFormatting>
  <conditionalFormatting sqref="K101">
    <cfRule type="cellIs" dxfId="3142" priority="5208" operator="greaterThan">
      <formula>10000</formula>
    </cfRule>
    <cfRule type="cellIs" dxfId="3141" priority="5209" operator="greaterThanOrEqual">
      <formula>1500</formula>
    </cfRule>
    <cfRule type="cellIs" dxfId="3140" priority="5210" operator="greaterThanOrEqual">
      <formula>1450</formula>
    </cfRule>
    <cfRule type="cellIs" dxfId="3139" priority="5211" operator="greaterThan">
      <formula>1400</formula>
    </cfRule>
  </conditionalFormatting>
  <conditionalFormatting sqref="K101">
    <cfRule type="cellIs" dxfId="3138" priority="5203" operator="greaterThan">
      <formula>10000</formula>
    </cfRule>
    <cfRule type="cellIs" dxfId="3137" priority="5204" operator="greaterThanOrEqual">
      <formula>1500</formula>
    </cfRule>
    <cfRule type="cellIs" dxfId="3136" priority="5205" operator="greaterThanOrEqual">
      <formula>1475</formula>
    </cfRule>
    <cfRule type="cellIs" dxfId="3135" priority="5206" operator="greaterThanOrEqual">
      <formula>1450</formula>
    </cfRule>
    <cfRule type="cellIs" dxfId="3134" priority="5207" operator="greaterThanOrEqual">
      <formula>1400</formula>
    </cfRule>
  </conditionalFormatting>
  <conditionalFormatting sqref="K101">
    <cfRule type="cellIs" dxfId="3133" priority="5199" operator="greaterThan">
      <formula>10000</formula>
    </cfRule>
    <cfRule type="cellIs" dxfId="3132" priority="5200" operator="greaterThanOrEqual">
      <formula>1500</formula>
    </cfRule>
    <cfRule type="cellIs" dxfId="3131" priority="5201" operator="greaterThanOrEqual">
      <formula>1450</formula>
    </cfRule>
    <cfRule type="cellIs" dxfId="3130" priority="5202" operator="greaterThan">
      <formula>1400</formula>
    </cfRule>
  </conditionalFormatting>
  <conditionalFormatting sqref="K101">
    <cfRule type="cellIs" dxfId="3129" priority="5194" operator="greaterThan">
      <formula>10000</formula>
    </cfRule>
    <cfRule type="cellIs" dxfId="3128" priority="5195" operator="greaterThanOrEqual">
      <formula>1500</formula>
    </cfRule>
    <cfRule type="cellIs" dxfId="3127" priority="5196" operator="greaterThanOrEqual">
      <formula>1475</formula>
    </cfRule>
    <cfRule type="cellIs" dxfId="3126" priority="5197" operator="greaterThanOrEqual">
      <formula>1450</formula>
    </cfRule>
    <cfRule type="cellIs" dxfId="3125" priority="5198" operator="greaterThanOrEqual">
      <formula>1400</formula>
    </cfRule>
  </conditionalFormatting>
  <conditionalFormatting sqref="K100">
    <cfRule type="cellIs" dxfId="3124" priority="5190" operator="greaterThan">
      <formula>10000</formula>
    </cfRule>
    <cfRule type="cellIs" dxfId="3123" priority="5191" operator="greaterThanOrEqual">
      <formula>1500</formula>
    </cfRule>
    <cfRule type="cellIs" dxfId="3122" priority="5192" operator="greaterThanOrEqual">
      <formula>1450</formula>
    </cfRule>
    <cfRule type="cellIs" dxfId="3121" priority="5193" operator="greaterThan">
      <formula>1400</formula>
    </cfRule>
  </conditionalFormatting>
  <conditionalFormatting sqref="K100">
    <cfRule type="cellIs" dxfId="3120" priority="5185" operator="greaterThan">
      <formula>10000</formula>
    </cfRule>
    <cfRule type="cellIs" dxfId="3119" priority="5186" operator="greaterThanOrEqual">
      <formula>1500</formula>
    </cfRule>
    <cfRule type="cellIs" dxfId="3118" priority="5187" operator="greaterThanOrEqual">
      <formula>1475</formula>
    </cfRule>
    <cfRule type="cellIs" dxfId="3117" priority="5188" operator="greaterThanOrEqual">
      <formula>1450</formula>
    </cfRule>
    <cfRule type="cellIs" dxfId="3116" priority="5189" operator="greaterThanOrEqual">
      <formula>1400</formula>
    </cfRule>
  </conditionalFormatting>
  <conditionalFormatting sqref="K100">
    <cfRule type="cellIs" dxfId="3115" priority="5169" operator="greaterThan">
      <formula>10000</formula>
    </cfRule>
    <cfRule type="cellIs" dxfId="3114" priority="5170" operator="greaterThanOrEqual">
      <formula>1500</formula>
    </cfRule>
    <cfRule type="cellIs" dxfId="3113" priority="5171" operator="greaterThanOrEqual">
      <formula>1450</formula>
    </cfRule>
    <cfRule type="cellIs" dxfId="3112" priority="5172" operator="greaterThan">
      <formula>1400</formula>
    </cfRule>
  </conditionalFormatting>
  <conditionalFormatting sqref="K100">
    <cfRule type="cellIs" dxfId="3111" priority="5164" operator="greaterThan">
      <formula>10000</formula>
    </cfRule>
    <cfRule type="cellIs" dxfId="3110" priority="5165" operator="greaterThanOrEqual">
      <formula>1500</formula>
    </cfRule>
    <cfRule type="cellIs" dxfId="3109" priority="5166" operator="greaterThanOrEqual">
      <formula>1475</formula>
    </cfRule>
    <cfRule type="cellIs" dxfId="3108" priority="5167" operator="greaterThanOrEqual">
      <formula>1450</formula>
    </cfRule>
    <cfRule type="cellIs" dxfId="3107" priority="5168" operator="greaterThanOrEqual">
      <formula>1400</formula>
    </cfRule>
  </conditionalFormatting>
  <conditionalFormatting sqref="K100">
    <cfRule type="cellIs" dxfId="3106" priority="5160" operator="greaterThan">
      <formula>10000</formula>
    </cfRule>
    <cfRule type="cellIs" dxfId="3105" priority="5161" operator="greaterThanOrEqual">
      <formula>1500</formula>
    </cfRule>
    <cfRule type="cellIs" dxfId="3104" priority="5162" operator="greaterThanOrEqual">
      <formula>1450</formula>
    </cfRule>
    <cfRule type="cellIs" dxfId="3103" priority="5163" operator="greaterThan">
      <formula>1400</formula>
    </cfRule>
  </conditionalFormatting>
  <conditionalFormatting sqref="K100">
    <cfRule type="cellIs" dxfId="3102" priority="5155" operator="greaterThan">
      <formula>10000</formula>
    </cfRule>
    <cfRule type="cellIs" dxfId="3101" priority="5156" operator="greaterThanOrEqual">
      <formula>1500</formula>
    </cfRule>
    <cfRule type="cellIs" dxfId="3100" priority="5157" operator="greaterThanOrEqual">
      <formula>1475</formula>
    </cfRule>
    <cfRule type="cellIs" dxfId="3099" priority="5158" operator="greaterThanOrEqual">
      <formula>1450</formula>
    </cfRule>
    <cfRule type="cellIs" dxfId="3098" priority="5159" operator="greaterThanOrEqual">
      <formula>1400</formula>
    </cfRule>
  </conditionalFormatting>
  <conditionalFormatting sqref="K99">
    <cfRule type="cellIs" dxfId="3097" priority="5151" operator="greaterThan">
      <formula>10000</formula>
    </cfRule>
    <cfRule type="cellIs" dxfId="3096" priority="5152" operator="greaterThanOrEqual">
      <formula>1500</formula>
    </cfRule>
    <cfRule type="cellIs" dxfId="3095" priority="5153" operator="greaterThanOrEqual">
      <formula>1450</formula>
    </cfRule>
    <cfRule type="cellIs" dxfId="3094" priority="5154" operator="greaterThan">
      <formula>1400</formula>
    </cfRule>
  </conditionalFormatting>
  <conditionalFormatting sqref="K99">
    <cfRule type="cellIs" dxfId="3093" priority="5146" operator="greaterThan">
      <formula>10000</formula>
    </cfRule>
    <cfRule type="cellIs" dxfId="3092" priority="5147" operator="greaterThanOrEqual">
      <formula>1500</formula>
    </cfRule>
    <cfRule type="cellIs" dxfId="3091" priority="5148" operator="greaterThanOrEqual">
      <formula>1475</formula>
    </cfRule>
    <cfRule type="cellIs" dxfId="3090" priority="5149" operator="greaterThanOrEqual">
      <formula>1450</formula>
    </cfRule>
    <cfRule type="cellIs" dxfId="3089" priority="5150" operator="greaterThanOrEqual">
      <formula>1400</formula>
    </cfRule>
  </conditionalFormatting>
  <conditionalFormatting sqref="K99">
    <cfRule type="cellIs" dxfId="3088" priority="5130" operator="greaterThan">
      <formula>10000</formula>
    </cfRule>
    <cfRule type="cellIs" dxfId="3087" priority="5131" operator="greaterThanOrEqual">
      <formula>1500</formula>
    </cfRule>
    <cfRule type="cellIs" dxfId="3086" priority="5132" operator="greaterThanOrEqual">
      <formula>1450</formula>
    </cfRule>
    <cfRule type="cellIs" dxfId="3085" priority="5133" operator="greaterThan">
      <formula>1400</formula>
    </cfRule>
  </conditionalFormatting>
  <conditionalFormatting sqref="K99">
    <cfRule type="cellIs" dxfId="3084" priority="5125" operator="greaterThan">
      <formula>10000</formula>
    </cfRule>
    <cfRule type="cellIs" dxfId="3083" priority="5126" operator="greaterThanOrEqual">
      <formula>1500</formula>
    </cfRule>
    <cfRule type="cellIs" dxfId="3082" priority="5127" operator="greaterThanOrEqual">
      <formula>1475</formula>
    </cfRule>
    <cfRule type="cellIs" dxfId="3081" priority="5128" operator="greaterThanOrEqual">
      <formula>1450</formula>
    </cfRule>
    <cfRule type="cellIs" dxfId="3080" priority="5129" operator="greaterThanOrEqual">
      <formula>1400</formula>
    </cfRule>
  </conditionalFormatting>
  <conditionalFormatting sqref="K99">
    <cfRule type="cellIs" dxfId="3079" priority="5121" operator="greaterThan">
      <formula>10000</formula>
    </cfRule>
    <cfRule type="cellIs" dxfId="3078" priority="5122" operator="greaterThanOrEqual">
      <formula>1500</formula>
    </cfRule>
    <cfRule type="cellIs" dxfId="3077" priority="5123" operator="greaterThanOrEqual">
      <formula>1450</formula>
    </cfRule>
    <cfRule type="cellIs" dxfId="3076" priority="5124" operator="greaterThan">
      <formula>1400</formula>
    </cfRule>
  </conditionalFormatting>
  <conditionalFormatting sqref="K99">
    <cfRule type="cellIs" dxfId="3075" priority="5116" operator="greaterThan">
      <formula>10000</formula>
    </cfRule>
    <cfRule type="cellIs" dxfId="3074" priority="5117" operator="greaterThanOrEqual">
      <formula>1500</formula>
    </cfRule>
    <cfRule type="cellIs" dxfId="3073" priority="5118" operator="greaterThanOrEqual">
      <formula>1475</formula>
    </cfRule>
    <cfRule type="cellIs" dxfId="3072" priority="5119" operator="greaterThanOrEqual">
      <formula>1450</formula>
    </cfRule>
    <cfRule type="cellIs" dxfId="3071" priority="5120" operator="greaterThanOrEqual">
      <formula>1400</formula>
    </cfRule>
  </conditionalFormatting>
  <conditionalFormatting sqref="K97">
    <cfRule type="cellIs" dxfId="3070" priority="5112" operator="greaterThan">
      <formula>10000</formula>
    </cfRule>
    <cfRule type="cellIs" dxfId="3069" priority="5113" operator="greaterThanOrEqual">
      <formula>1500</formula>
    </cfRule>
    <cfRule type="cellIs" dxfId="3068" priority="5114" operator="greaterThanOrEqual">
      <formula>1450</formula>
    </cfRule>
    <cfRule type="cellIs" dxfId="3067" priority="5115" operator="greaterThan">
      <formula>1400</formula>
    </cfRule>
  </conditionalFormatting>
  <conditionalFormatting sqref="K97">
    <cfRule type="cellIs" dxfId="3066" priority="5107" operator="greaterThan">
      <formula>10000</formula>
    </cfRule>
    <cfRule type="cellIs" dxfId="3065" priority="5108" operator="greaterThanOrEqual">
      <formula>1500</formula>
    </cfRule>
    <cfRule type="cellIs" dxfId="3064" priority="5109" operator="greaterThanOrEqual">
      <formula>1475</formula>
    </cfRule>
    <cfRule type="cellIs" dxfId="3063" priority="5110" operator="greaterThanOrEqual">
      <formula>1450</formula>
    </cfRule>
    <cfRule type="cellIs" dxfId="3062" priority="5111" operator="greaterThanOrEqual">
      <formula>1400</formula>
    </cfRule>
  </conditionalFormatting>
  <conditionalFormatting sqref="K97">
    <cfRule type="cellIs" dxfId="3061" priority="5091" operator="greaterThan">
      <formula>10000</formula>
    </cfRule>
    <cfRule type="cellIs" dxfId="3060" priority="5092" operator="greaterThanOrEqual">
      <formula>1500</formula>
    </cfRule>
    <cfRule type="cellIs" dxfId="3059" priority="5093" operator="greaterThanOrEqual">
      <formula>1450</formula>
    </cfRule>
    <cfRule type="cellIs" dxfId="3058" priority="5094" operator="greaterThan">
      <formula>1400</formula>
    </cfRule>
  </conditionalFormatting>
  <conditionalFormatting sqref="K97">
    <cfRule type="cellIs" dxfId="3057" priority="5086" operator="greaterThan">
      <formula>10000</formula>
    </cfRule>
    <cfRule type="cellIs" dxfId="3056" priority="5087" operator="greaterThanOrEqual">
      <formula>1500</formula>
    </cfRule>
    <cfRule type="cellIs" dxfId="3055" priority="5088" operator="greaterThanOrEqual">
      <formula>1475</formula>
    </cfRule>
    <cfRule type="cellIs" dxfId="3054" priority="5089" operator="greaterThanOrEqual">
      <formula>1450</formula>
    </cfRule>
    <cfRule type="cellIs" dxfId="3053" priority="5090" operator="greaterThanOrEqual">
      <formula>1400</formula>
    </cfRule>
  </conditionalFormatting>
  <conditionalFormatting sqref="K97">
    <cfRule type="cellIs" dxfId="3052" priority="5082" operator="greaterThan">
      <formula>10000</formula>
    </cfRule>
    <cfRule type="cellIs" dxfId="3051" priority="5083" operator="greaterThanOrEqual">
      <formula>1500</formula>
    </cfRule>
    <cfRule type="cellIs" dxfId="3050" priority="5084" operator="greaterThanOrEqual">
      <formula>1450</formula>
    </cfRule>
    <cfRule type="cellIs" dxfId="3049" priority="5085" operator="greaterThan">
      <formula>1400</formula>
    </cfRule>
  </conditionalFormatting>
  <conditionalFormatting sqref="K97">
    <cfRule type="cellIs" dxfId="3048" priority="5077" operator="greaterThan">
      <formula>10000</formula>
    </cfRule>
    <cfRule type="cellIs" dxfId="3047" priority="5078" operator="greaterThanOrEqual">
      <formula>1500</formula>
    </cfRule>
    <cfRule type="cellIs" dxfId="3046" priority="5079" operator="greaterThanOrEqual">
      <formula>1475</formula>
    </cfRule>
    <cfRule type="cellIs" dxfId="3045" priority="5080" operator="greaterThanOrEqual">
      <formula>1450</formula>
    </cfRule>
    <cfRule type="cellIs" dxfId="3044" priority="5081" operator="greaterThanOrEqual">
      <formula>1400</formula>
    </cfRule>
  </conditionalFormatting>
  <conditionalFormatting sqref="K96">
    <cfRule type="cellIs" dxfId="3043" priority="5073" operator="greaterThan">
      <formula>10000</formula>
    </cfRule>
    <cfRule type="cellIs" dxfId="3042" priority="5074" operator="greaterThanOrEqual">
      <formula>1500</formula>
    </cfRule>
    <cfRule type="cellIs" dxfId="3041" priority="5075" operator="greaterThanOrEqual">
      <formula>1450</formula>
    </cfRule>
    <cfRule type="cellIs" dxfId="3040" priority="5076" operator="greaterThan">
      <formula>1400</formula>
    </cfRule>
  </conditionalFormatting>
  <conditionalFormatting sqref="K96">
    <cfRule type="cellIs" dxfId="3039" priority="5068" operator="greaterThan">
      <formula>10000</formula>
    </cfRule>
    <cfRule type="cellIs" dxfId="3038" priority="5069" operator="greaterThanOrEqual">
      <formula>1500</formula>
    </cfRule>
    <cfRule type="cellIs" dxfId="3037" priority="5070" operator="greaterThanOrEqual">
      <formula>1475</formula>
    </cfRule>
    <cfRule type="cellIs" dxfId="3036" priority="5071" operator="greaterThanOrEqual">
      <formula>1450</formula>
    </cfRule>
    <cfRule type="cellIs" dxfId="3035" priority="5072" operator="greaterThanOrEqual">
      <formula>1400</formula>
    </cfRule>
  </conditionalFormatting>
  <conditionalFormatting sqref="K96">
    <cfRule type="cellIs" dxfId="3034" priority="5052" operator="greaterThan">
      <formula>10000</formula>
    </cfRule>
    <cfRule type="cellIs" dxfId="3033" priority="5053" operator="greaterThanOrEqual">
      <formula>1500</formula>
    </cfRule>
    <cfRule type="cellIs" dxfId="3032" priority="5054" operator="greaterThanOrEqual">
      <formula>1450</formula>
    </cfRule>
    <cfRule type="cellIs" dxfId="3031" priority="5055" operator="greaterThan">
      <formula>1400</formula>
    </cfRule>
  </conditionalFormatting>
  <conditionalFormatting sqref="K96">
    <cfRule type="cellIs" dxfId="3030" priority="5047" operator="greaterThan">
      <formula>10000</formula>
    </cfRule>
    <cfRule type="cellIs" dxfId="3029" priority="5048" operator="greaterThanOrEqual">
      <formula>1500</formula>
    </cfRule>
    <cfRule type="cellIs" dxfId="3028" priority="5049" operator="greaterThanOrEqual">
      <formula>1475</formula>
    </cfRule>
    <cfRule type="cellIs" dxfId="3027" priority="5050" operator="greaterThanOrEqual">
      <formula>1450</formula>
    </cfRule>
    <cfRule type="cellIs" dxfId="3026" priority="5051" operator="greaterThanOrEqual">
      <formula>1400</formula>
    </cfRule>
  </conditionalFormatting>
  <conditionalFormatting sqref="K96">
    <cfRule type="cellIs" dxfId="3025" priority="5043" operator="greaterThan">
      <formula>10000</formula>
    </cfRule>
    <cfRule type="cellIs" dxfId="3024" priority="5044" operator="greaterThanOrEqual">
      <formula>1500</formula>
    </cfRule>
    <cfRule type="cellIs" dxfId="3023" priority="5045" operator="greaterThanOrEqual">
      <formula>1450</formula>
    </cfRule>
    <cfRule type="cellIs" dxfId="3022" priority="5046" operator="greaterThan">
      <formula>1400</formula>
    </cfRule>
  </conditionalFormatting>
  <conditionalFormatting sqref="K96">
    <cfRule type="cellIs" dxfId="3021" priority="5038" operator="greaterThan">
      <formula>10000</formula>
    </cfRule>
    <cfRule type="cellIs" dxfId="3020" priority="5039" operator="greaterThanOrEqual">
      <formula>1500</formula>
    </cfRule>
    <cfRule type="cellIs" dxfId="3019" priority="5040" operator="greaterThanOrEqual">
      <formula>1475</formula>
    </cfRule>
    <cfRule type="cellIs" dxfId="3018" priority="5041" operator="greaterThanOrEqual">
      <formula>1450</formula>
    </cfRule>
    <cfRule type="cellIs" dxfId="3017" priority="5042" operator="greaterThanOrEqual">
      <formula>1400</formula>
    </cfRule>
  </conditionalFormatting>
  <conditionalFormatting sqref="K95">
    <cfRule type="cellIs" dxfId="3016" priority="5034" operator="greaterThan">
      <formula>10000</formula>
    </cfRule>
    <cfRule type="cellIs" dxfId="3015" priority="5035" operator="greaterThanOrEqual">
      <formula>1500</formula>
    </cfRule>
    <cfRule type="cellIs" dxfId="3014" priority="5036" operator="greaterThanOrEqual">
      <formula>1450</formula>
    </cfRule>
    <cfRule type="cellIs" dxfId="3013" priority="5037" operator="greaterThan">
      <formula>1400</formula>
    </cfRule>
  </conditionalFormatting>
  <conditionalFormatting sqref="K95">
    <cfRule type="cellIs" dxfId="3012" priority="5029" operator="greaterThan">
      <formula>10000</formula>
    </cfRule>
    <cfRule type="cellIs" dxfId="3011" priority="5030" operator="greaterThanOrEqual">
      <formula>1500</formula>
    </cfRule>
    <cfRule type="cellIs" dxfId="3010" priority="5031" operator="greaterThanOrEqual">
      <formula>1475</formula>
    </cfRule>
    <cfRule type="cellIs" dxfId="3009" priority="5032" operator="greaterThanOrEqual">
      <formula>1450</formula>
    </cfRule>
    <cfRule type="cellIs" dxfId="3008" priority="5033" operator="greaterThanOrEqual">
      <formula>1400</formula>
    </cfRule>
  </conditionalFormatting>
  <conditionalFormatting sqref="K95">
    <cfRule type="cellIs" dxfId="3007" priority="5013" operator="greaterThan">
      <formula>10000</formula>
    </cfRule>
    <cfRule type="cellIs" dxfId="3006" priority="5014" operator="greaterThanOrEqual">
      <formula>1500</formula>
    </cfRule>
    <cfRule type="cellIs" dxfId="3005" priority="5015" operator="greaterThanOrEqual">
      <formula>1450</formula>
    </cfRule>
    <cfRule type="cellIs" dxfId="3004" priority="5016" operator="greaterThan">
      <formula>1400</formula>
    </cfRule>
  </conditionalFormatting>
  <conditionalFormatting sqref="K95">
    <cfRule type="cellIs" dxfId="3003" priority="5008" operator="greaterThan">
      <formula>10000</formula>
    </cfRule>
    <cfRule type="cellIs" dxfId="3002" priority="5009" operator="greaterThanOrEqual">
      <formula>1500</formula>
    </cfRule>
    <cfRule type="cellIs" dxfId="3001" priority="5010" operator="greaterThanOrEqual">
      <formula>1475</formula>
    </cfRule>
    <cfRule type="cellIs" dxfId="3000" priority="5011" operator="greaterThanOrEqual">
      <formula>1450</formula>
    </cfRule>
    <cfRule type="cellIs" dxfId="2999" priority="5012" operator="greaterThanOrEqual">
      <formula>1400</formula>
    </cfRule>
  </conditionalFormatting>
  <conditionalFormatting sqref="K95">
    <cfRule type="cellIs" dxfId="2998" priority="5004" operator="greaterThan">
      <formula>10000</formula>
    </cfRule>
    <cfRule type="cellIs" dxfId="2997" priority="5005" operator="greaterThanOrEqual">
      <formula>1500</formula>
    </cfRule>
    <cfRule type="cellIs" dxfId="2996" priority="5006" operator="greaterThanOrEqual">
      <formula>1450</formula>
    </cfRule>
    <cfRule type="cellIs" dxfId="2995" priority="5007" operator="greaterThan">
      <formula>1400</formula>
    </cfRule>
  </conditionalFormatting>
  <conditionalFormatting sqref="K95">
    <cfRule type="cellIs" dxfId="2994" priority="4999" operator="greaterThan">
      <formula>10000</formula>
    </cfRule>
    <cfRule type="cellIs" dxfId="2993" priority="5000" operator="greaterThanOrEqual">
      <formula>1500</formula>
    </cfRule>
    <cfRule type="cellIs" dxfId="2992" priority="5001" operator="greaterThanOrEqual">
      <formula>1475</formula>
    </cfRule>
    <cfRule type="cellIs" dxfId="2991" priority="5002" operator="greaterThanOrEqual">
      <formula>1450</formula>
    </cfRule>
    <cfRule type="cellIs" dxfId="2990" priority="5003" operator="greaterThanOrEqual">
      <formula>1400</formula>
    </cfRule>
  </conditionalFormatting>
  <conditionalFormatting sqref="K94">
    <cfRule type="cellIs" dxfId="2989" priority="4995" operator="greaterThan">
      <formula>10000</formula>
    </cfRule>
    <cfRule type="cellIs" dxfId="2988" priority="4996" operator="greaterThanOrEqual">
      <formula>1500</formula>
    </cfRule>
    <cfRule type="cellIs" dxfId="2987" priority="4997" operator="greaterThanOrEqual">
      <formula>1450</formula>
    </cfRule>
    <cfRule type="cellIs" dxfId="2986" priority="4998" operator="greaterThan">
      <formula>1400</formula>
    </cfRule>
  </conditionalFormatting>
  <conditionalFormatting sqref="K94">
    <cfRule type="cellIs" dxfId="2985" priority="4990" operator="greaterThan">
      <formula>10000</formula>
    </cfRule>
    <cfRule type="cellIs" dxfId="2984" priority="4991" operator="greaterThanOrEqual">
      <formula>1500</formula>
    </cfRule>
    <cfRule type="cellIs" dxfId="2983" priority="4992" operator="greaterThanOrEqual">
      <formula>1475</formula>
    </cfRule>
    <cfRule type="cellIs" dxfId="2982" priority="4993" operator="greaterThanOrEqual">
      <formula>1450</formula>
    </cfRule>
    <cfRule type="cellIs" dxfId="2981" priority="4994" operator="greaterThanOrEqual">
      <formula>1400</formula>
    </cfRule>
  </conditionalFormatting>
  <conditionalFormatting sqref="K94">
    <cfRule type="cellIs" dxfId="2980" priority="4974" operator="greaterThan">
      <formula>10000</formula>
    </cfRule>
    <cfRule type="cellIs" dxfId="2979" priority="4975" operator="greaterThanOrEqual">
      <formula>1500</formula>
    </cfRule>
    <cfRule type="cellIs" dxfId="2978" priority="4976" operator="greaterThanOrEqual">
      <formula>1450</formula>
    </cfRule>
    <cfRule type="cellIs" dxfId="2977" priority="4977" operator="greaterThan">
      <formula>1400</formula>
    </cfRule>
  </conditionalFormatting>
  <conditionalFormatting sqref="K94">
    <cfRule type="cellIs" dxfId="2976" priority="4969" operator="greaterThan">
      <formula>10000</formula>
    </cfRule>
    <cfRule type="cellIs" dxfId="2975" priority="4970" operator="greaterThanOrEqual">
      <formula>1500</formula>
    </cfRule>
    <cfRule type="cellIs" dxfId="2974" priority="4971" operator="greaterThanOrEqual">
      <formula>1475</formula>
    </cfRule>
    <cfRule type="cellIs" dxfId="2973" priority="4972" operator="greaterThanOrEqual">
      <formula>1450</formula>
    </cfRule>
    <cfRule type="cellIs" dxfId="2972" priority="4973" operator="greaterThanOrEqual">
      <formula>1400</formula>
    </cfRule>
  </conditionalFormatting>
  <conditionalFormatting sqref="K94">
    <cfRule type="cellIs" dxfId="2971" priority="4965" operator="greaterThan">
      <formula>10000</formula>
    </cfRule>
    <cfRule type="cellIs" dxfId="2970" priority="4966" operator="greaterThanOrEqual">
      <formula>1500</formula>
    </cfRule>
    <cfRule type="cellIs" dxfId="2969" priority="4967" operator="greaterThanOrEqual">
      <formula>1450</formula>
    </cfRule>
    <cfRule type="cellIs" dxfId="2968" priority="4968" operator="greaterThan">
      <formula>1400</formula>
    </cfRule>
  </conditionalFormatting>
  <conditionalFormatting sqref="K94">
    <cfRule type="cellIs" dxfId="2967" priority="4960" operator="greaterThan">
      <formula>10000</formula>
    </cfRule>
    <cfRule type="cellIs" dxfId="2966" priority="4961" operator="greaterThanOrEqual">
      <formula>1500</formula>
    </cfRule>
    <cfRule type="cellIs" dxfId="2965" priority="4962" operator="greaterThanOrEqual">
      <formula>1475</formula>
    </cfRule>
    <cfRule type="cellIs" dxfId="2964" priority="4963" operator="greaterThanOrEqual">
      <formula>1450</formula>
    </cfRule>
    <cfRule type="cellIs" dxfId="2963" priority="4964" operator="greaterThanOrEqual">
      <formula>1400</formula>
    </cfRule>
  </conditionalFormatting>
  <conditionalFormatting sqref="K87:K92">
    <cfRule type="cellIs" dxfId="2962" priority="4956" operator="greaterThan">
      <formula>10000</formula>
    </cfRule>
    <cfRule type="cellIs" dxfId="2961" priority="4957" operator="greaterThanOrEqual">
      <formula>1500</formula>
    </cfRule>
    <cfRule type="cellIs" dxfId="2960" priority="4958" operator="greaterThanOrEqual">
      <formula>1450</formula>
    </cfRule>
    <cfRule type="cellIs" dxfId="2959" priority="4959" operator="greaterThan">
      <formula>1400</formula>
    </cfRule>
  </conditionalFormatting>
  <conditionalFormatting sqref="K87:K92">
    <cfRule type="cellIs" dxfId="2958" priority="4951" operator="greaterThan">
      <formula>10000</formula>
    </cfRule>
    <cfRule type="cellIs" dxfId="2957" priority="4952" operator="greaterThanOrEqual">
      <formula>1500</formula>
    </cfRule>
    <cfRule type="cellIs" dxfId="2956" priority="4953" operator="greaterThanOrEqual">
      <formula>1475</formula>
    </cfRule>
    <cfRule type="cellIs" dxfId="2955" priority="4954" operator="greaterThanOrEqual">
      <formula>1450</formula>
    </cfRule>
    <cfRule type="cellIs" dxfId="2954" priority="4955" operator="greaterThanOrEqual">
      <formula>1400</formula>
    </cfRule>
  </conditionalFormatting>
  <conditionalFormatting sqref="K87:K92">
    <cfRule type="cellIs" dxfId="2953" priority="4935" operator="greaterThan">
      <formula>10000</formula>
    </cfRule>
    <cfRule type="cellIs" dxfId="2952" priority="4936" operator="greaterThanOrEqual">
      <formula>1500</formula>
    </cfRule>
    <cfRule type="cellIs" dxfId="2951" priority="4937" operator="greaterThanOrEqual">
      <formula>1450</formula>
    </cfRule>
    <cfRule type="cellIs" dxfId="2950" priority="4938" operator="greaterThan">
      <formula>1400</formula>
    </cfRule>
  </conditionalFormatting>
  <conditionalFormatting sqref="K87:K92">
    <cfRule type="cellIs" dxfId="2949" priority="4930" operator="greaterThan">
      <formula>10000</formula>
    </cfRule>
    <cfRule type="cellIs" dxfId="2948" priority="4931" operator="greaterThanOrEqual">
      <formula>1500</formula>
    </cfRule>
    <cfRule type="cellIs" dxfId="2947" priority="4932" operator="greaterThanOrEqual">
      <formula>1475</formula>
    </cfRule>
    <cfRule type="cellIs" dxfId="2946" priority="4933" operator="greaterThanOrEqual">
      <formula>1450</formula>
    </cfRule>
    <cfRule type="cellIs" dxfId="2945" priority="4934" operator="greaterThanOrEqual">
      <formula>1400</formula>
    </cfRule>
  </conditionalFormatting>
  <conditionalFormatting sqref="K87:K92">
    <cfRule type="cellIs" dxfId="2944" priority="4926" operator="greaterThan">
      <formula>10000</formula>
    </cfRule>
    <cfRule type="cellIs" dxfId="2943" priority="4927" operator="greaterThanOrEqual">
      <formula>1500</formula>
    </cfRule>
    <cfRule type="cellIs" dxfId="2942" priority="4928" operator="greaterThanOrEqual">
      <formula>1450</formula>
    </cfRule>
    <cfRule type="cellIs" dxfId="2941" priority="4929" operator="greaterThan">
      <formula>1400</formula>
    </cfRule>
  </conditionalFormatting>
  <conditionalFormatting sqref="K87:K92">
    <cfRule type="cellIs" dxfId="2940" priority="4921" operator="greaterThan">
      <formula>10000</formula>
    </cfRule>
    <cfRule type="cellIs" dxfId="2939" priority="4922" operator="greaterThanOrEqual">
      <formula>1500</formula>
    </cfRule>
    <cfRule type="cellIs" dxfId="2938" priority="4923" operator="greaterThanOrEqual">
      <formula>1475</formula>
    </cfRule>
    <cfRule type="cellIs" dxfId="2937" priority="4924" operator="greaterThanOrEqual">
      <formula>1450</formula>
    </cfRule>
    <cfRule type="cellIs" dxfId="2936" priority="4925" operator="greaterThanOrEqual">
      <formula>1400</formula>
    </cfRule>
  </conditionalFormatting>
  <conditionalFormatting sqref="K85">
    <cfRule type="cellIs" dxfId="2935" priority="4917" operator="greaterThan">
      <formula>10000</formula>
    </cfRule>
    <cfRule type="cellIs" dxfId="2934" priority="4918" operator="greaterThanOrEqual">
      <formula>1500</formula>
    </cfRule>
    <cfRule type="cellIs" dxfId="2933" priority="4919" operator="greaterThanOrEqual">
      <formula>1450</formula>
    </cfRule>
    <cfRule type="cellIs" dxfId="2932" priority="4920" operator="greaterThan">
      <formula>1400</formula>
    </cfRule>
  </conditionalFormatting>
  <conditionalFormatting sqref="K85">
    <cfRule type="cellIs" dxfId="2931" priority="4912" operator="greaterThan">
      <formula>10000</formula>
    </cfRule>
    <cfRule type="cellIs" dxfId="2930" priority="4913" operator="greaterThanOrEqual">
      <formula>1500</formula>
    </cfRule>
    <cfRule type="cellIs" dxfId="2929" priority="4914" operator="greaterThanOrEqual">
      <formula>1475</formula>
    </cfRule>
    <cfRule type="cellIs" dxfId="2928" priority="4915" operator="greaterThanOrEqual">
      <formula>1450</formula>
    </cfRule>
    <cfRule type="cellIs" dxfId="2927" priority="4916" operator="greaterThanOrEqual">
      <formula>1400</formula>
    </cfRule>
  </conditionalFormatting>
  <conditionalFormatting sqref="K85">
    <cfRule type="cellIs" dxfId="2926" priority="4896" operator="greaterThan">
      <formula>10000</formula>
    </cfRule>
    <cfRule type="cellIs" dxfId="2925" priority="4897" operator="greaterThanOrEqual">
      <formula>1500</formula>
    </cfRule>
    <cfRule type="cellIs" dxfId="2924" priority="4898" operator="greaterThanOrEqual">
      <formula>1450</formula>
    </cfRule>
    <cfRule type="cellIs" dxfId="2923" priority="4899" operator="greaterThan">
      <formula>1400</formula>
    </cfRule>
  </conditionalFormatting>
  <conditionalFormatting sqref="K85">
    <cfRule type="cellIs" dxfId="2922" priority="4891" operator="greaterThan">
      <formula>10000</formula>
    </cfRule>
    <cfRule type="cellIs" dxfId="2921" priority="4892" operator="greaterThanOrEqual">
      <formula>1500</formula>
    </cfRule>
    <cfRule type="cellIs" dxfId="2920" priority="4893" operator="greaterThanOrEqual">
      <formula>1475</formula>
    </cfRule>
    <cfRule type="cellIs" dxfId="2919" priority="4894" operator="greaterThanOrEqual">
      <formula>1450</formula>
    </cfRule>
    <cfRule type="cellIs" dxfId="2918" priority="4895" operator="greaterThanOrEqual">
      <formula>1400</formula>
    </cfRule>
  </conditionalFormatting>
  <conditionalFormatting sqref="K85">
    <cfRule type="cellIs" dxfId="2917" priority="4887" operator="greaterThan">
      <formula>10000</formula>
    </cfRule>
    <cfRule type="cellIs" dxfId="2916" priority="4888" operator="greaterThanOrEqual">
      <formula>1500</formula>
    </cfRule>
    <cfRule type="cellIs" dxfId="2915" priority="4889" operator="greaterThanOrEqual">
      <formula>1450</formula>
    </cfRule>
    <cfRule type="cellIs" dxfId="2914" priority="4890" operator="greaterThan">
      <formula>1400</formula>
    </cfRule>
  </conditionalFormatting>
  <conditionalFormatting sqref="K85">
    <cfRule type="cellIs" dxfId="2913" priority="4882" operator="greaterThan">
      <formula>10000</formula>
    </cfRule>
    <cfRule type="cellIs" dxfId="2912" priority="4883" operator="greaterThanOrEqual">
      <formula>1500</formula>
    </cfRule>
    <cfRule type="cellIs" dxfId="2911" priority="4884" operator="greaterThanOrEqual">
      <formula>1475</formula>
    </cfRule>
    <cfRule type="cellIs" dxfId="2910" priority="4885" operator="greaterThanOrEqual">
      <formula>1450</formula>
    </cfRule>
    <cfRule type="cellIs" dxfId="2909" priority="4886" operator="greaterThanOrEqual">
      <formula>1400</formula>
    </cfRule>
  </conditionalFormatting>
  <conditionalFormatting sqref="K81:K83">
    <cfRule type="cellIs" dxfId="2908" priority="4878" operator="greaterThan">
      <formula>10000</formula>
    </cfRule>
    <cfRule type="cellIs" dxfId="2907" priority="4879" operator="greaterThanOrEqual">
      <formula>1500</formula>
    </cfRule>
    <cfRule type="cellIs" dxfId="2906" priority="4880" operator="greaterThanOrEqual">
      <formula>1450</formula>
    </cfRule>
    <cfRule type="cellIs" dxfId="2905" priority="4881" operator="greaterThan">
      <formula>1400</formula>
    </cfRule>
  </conditionalFormatting>
  <conditionalFormatting sqref="K81:K83">
    <cfRule type="cellIs" dxfId="2904" priority="4873" operator="greaterThan">
      <formula>10000</formula>
    </cfRule>
    <cfRule type="cellIs" dxfId="2903" priority="4874" operator="greaterThanOrEqual">
      <formula>1500</formula>
    </cfRule>
    <cfRule type="cellIs" dxfId="2902" priority="4875" operator="greaterThanOrEqual">
      <formula>1475</formula>
    </cfRule>
    <cfRule type="cellIs" dxfId="2901" priority="4876" operator="greaterThanOrEqual">
      <formula>1450</formula>
    </cfRule>
    <cfRule type="cellIs" dxfId="2900" priority="4877" operator="greaterThanOrEqual">
      <formula>1400</formula>
    </cfRule>
  </conditionalFormatting>
  <conditionalFormatting sqref="K81:K83">
    <cfRule type="cellIs" dxfId="2899" priority="4857" operator="greaterThan">
      <formula>10000</formula>
    </cfRule>
    <cfRule type="cellIs" dxfId="2898" priority="4858" operator="greaterThanOrEqual">
      <formula>1500</formula>
    </cfRule>
    <cfRule type="cellIs" dxfId="2897" priority="4859" operator="greaterThanOrEqual">
      <formula>1450</formula>
    </cfRule>
    <cfRule type="cellIs" dxfId="2896" priority="4860" operator="greaterThan">
      <formula>1400</formula>
    </cfRule>
  </conditionalFormatting>
  <conditionalFormatting sqref="K81:K83">
    <cfRule type="cellIs" dxfId="2895" priority="4852" operator="greaterThan">
      <formula>10000</formula>
    </cfRule>
    <cfRule type="cellIs" dxfId="2894" priority="4853" operator="greaterThanOrEqual">
      <formula>1500</formula>
    </cfRule>
    <cfRule type="cellIs" dxfId="2893" priority="4854" operator="greaterThanOrEqual">
      <formula>1475</formula>
    </cfRule>
    <cfRule type="cellIs" dxfId="2892" priority="4855" operator="greaterThanOrEqual">
      <formula>1450</formula>
    </cfRule>
    <cfRule type="cellIs" dxfId="2891" priority="4856" operator="greaterThanOrEqual">
      <formula>1400</formula>
    </cfRule>
  </conditionalFormatting>
  <conditionalFormatting sqref="K81:K83">
    <cfRule type="cellIs" dxfId="2890" priority="4848" operator="greaterThan">
      <formula>10000</formula>
    </cfRule>
    <cfRule type="cellIs" dxfId="2889" priority="4849" operator="greaterThanOrEqual">
      <formula>1500</formula>
    </cfRule>
    <cfRule type="cellIs" dxfId="2888" priority="4850" operator="greaterThanOrEqual">
      <formula>1450</formula>
    </cfRule>
    <cfRule type="cellIs" dxfId="2887" priority="4851" operator="greaterThan">
      <formula>1400</formula>
    </cfRule>
  </conditionalFormatting>
  <conditionalFormatting sqref="K81:K83">
    <cfRule type="cellIs" dxfId="2886" priority="4843" operator="greaterThan">
      <formula>10000</formula>
    </cfRule>
    <cfRule type="cellIs" dxfId="2885" priority="4844" operator="greaterThanOrEqual">
      <formula>1500</formula>
    </cfRule>
    <cfRule type="cellIs" dxfId="2884" priority="4845" operator="greaterThanOrEqual">
      <formula>1475</formula>
    </cfRule>
    <cfRule type="cellIs" dxfId="2883" priority="4846" operator="greaterThanOrEqual">
      <formula>1450</formula>
    </cfRule>
    <cfRule type="cellIs" dxfId="2882" priority="4847" operator="greaterThanOrEqual">
      <formula>1400</formula>
    </cfRule>
  </conditionalFormatting>
  <conditionalFormatting sqref="K77:K78">
    <cfRule type="cellIs" dxfId="2881" priority="4839" operator="greaterThan">
      <formula>10000</formula>
    </cfRule>
    <cfRule type="cellIs" dxfId="2880" priority="4840" operator="greaterThanOrEqual">
      <formula>1500</formula>
    </cfRule>
    <cfRule type="cellIs" dxfId="2879" priority="4841" operator="greaterThanOrEqual">
      <formula>1450</formula>
    </cfRule>
    <cfRule type="cellIs" dxfId="2878" priority="4842" operator="greaterThan">
      <formula>1400</formula>
    </cfRule>
  </conditionalFormatting>
  <conditionalFormatting sqref="K77:K78">
    <cfRule type="cellIs" dxfId="2877" priority="4834" operator="greaterThan">
      <formula>10000</formula>
    </cfRule>
    <cfRule type="cellIs" dxfId="2876" priority="4835" operator="greaterThanOrEqual">
      <formula>1500</formula>
    </cfRule>
    <cfRule type="cellIs" dxfId="2875" priority="4836" operator="greaterThanOrEqual">
      <formula>1475</formula>
    </cfRule>
    <cfRule type="cellIs" dxfId="2874" priority="4837" operator="greaterThanOrEqual">
      <formula>1450</formula>
    </cfRule>
    <cfRule type="cellIs" dxfId="2873" priority="4838" operator="greaterThanOrEqual">
      <formula>1400</formula>
    </cfRule>
  </conditionalFormatting>
  <conditionalFormatting sqref="K77:K78">
    <cfRule type="cellIs" dxfId="2872" priority="4818" operator="greaterThan">
      <formula>10000</formula>
    </cfRule>
    <cfRule type="cellIs" dxfId="2871" priority="4819" operator="greaterThanOrEqual">
      <formula>1500</formula>
    </cfRule>
    <cfRule type="cellIs" dxfId="2870" priority="4820" operator="greaterThanOrEqual">
      <formula>1450</formula>
    </cfRule>
    <cfRule type="cellIs" dxfId="2869" priority="4821" operator="greaterThan">
      <formula>1400</formula>
    </cfRule>
  </conditionalFormatting>
  <conditionalFormatting sqref="K77:K78">
    <cfRule type="cellIs" dxfId="2868" priority="4813" operator="greaterThan">
      <formula>10000</formula>
    </cfRule>
    <cfRule type="cellIs" dxfId="2867" priority="4814" operator="greaterThanOrEqual">
      <formula>1500</formula>
    </cfRule>
    <cfRule type="cellIs" dxfId="2866" priority="4815" operator="greaterThanOrEqual">
      <formula>1475</formula>
    </cfRule>
    <cfRule type="cellIs" dxfId="2865" priority="4816" operator="greaterThanOrEqual">
      <formula>1450</formula>
    </cfRule>
    <cfRule type="cellIs" dxfId="2864" priority="4817" operator="greaterThanOrEqual">
      <formula>1400</formula>
    </cfRule>
  </conditionalFormatting>
  <conditionalFormatting sqref="K77:K78">
    <cfRule type="cellIs" dxfId="2863" priority="4809" operator="greaterThan">
      <formula>10000</formula>
    </cfRule>
    <cfRule type="cellIs" dxfId="2862" priority="4810" operator="greaterThanOrEqual">
      <formula>1500</formula>
    </cfRule>
    <cfRule type="cellIs" dxfId="2861" priority="4811" operator="greaterThanOrEqual">
      <formula>1450</formula>
    </cfRule>
    <cfRule type="cellIs" dxfId="2860" priority="4812" operator="greaterThan">
      <formula>1400</formula>
    </cfRule>
  </conditionalFormatting>
  <conditionalFormatting sqref="K77:K78">
    <cfRule type="cellIs" dxfId="2859" priority="4804" operator="greaterThan">
      <formula>10000</formula>
    </cfRule>
    <cfRule type="cellIs" dxfId="2858" priority="4805" operator="greaterThanOrEqual">
      <formula>1500</formula>
    </cfRule>
    <cfRule type="cellIs" dxfId="2857" priority="4806" operator="greaterThanOrEqual">
      <formula>1475</formula>
    </cfRule>
    <cfRule type="cellIs" dxfId="2856" priority="4807" operator="greaterThanOrEqual">
      <formula>1450</formula>
    </cfRule>
    <cfRule type="cellIs" dxfId="2855" priority="4808" operator="greaterThanOrEqual">
      <formula>1400</formula>
    </cfRule>
  </conditionalFormatting>
  <conditionalFormatting sqref="K63:K75">
    <cfRule type="cellIs" dxfId="2854" priority="4800" operator="greaterThan">
      <formula>10000</formula>
    </cfRule>
    <cfRule type="cellIs" dxfId="2853" priority="4801" operator="greaterThanOrEqual">
      <formula>1500</formula>
    </cfRule>
    <cfRule type="cellIs" dxfId="2852" priority="4802" operator="greaterThanOrEqual">
      <formula>1450</formula>
    </cfRule>
    <cfRule type="cellIs" dxfId="2851" priority="4803" operator="greaterThan">
      <formula>1400</formula>
    </cfRule>
  </conditionalFormatting>
  <conditionalFormatting sqref="K63:K75">
    <cfRule type="cellIs" dxfId="2850" priority="4795" operator="greaterThan">
      <formula>10000</formula>
    </cfRule>
    <cfRule type="cellIs" dxfId="2849" priority="4796" operator="greaterThanOrEqual">
      <formula>1500</formula>
    </cfRule>
    <cfRule type="cellIs" dxfId="2848" priority="4797" operator="greaterThanOrEqual">
      <formula>1475</formula>
    </cfRule>
    <cfRule type="cellIs" dxfId="2847" priority="4798" operator="greaterThanOrEqual">
      <formula>1450</formula>
    </cfRule>
    <cfRule type="cellIs" dxfId="2846" priority="4799" operator="greaterThanOrEqual">
      <formula>1400</formula>
    </cfRule>
  </conditionalFormatting>
  <conditionalFormatting sqref="K63:K75">
    <cfRule type="cellIs" dxfId="2845" priority="4779" operator="greaterThan">
      <formula>10000</formula>
    </cfRule>
    <cfRule type="cellIs" dxfId="2844" priority="4780" operator="greaterThanOrEqual">
      <formula>1500</formula>
    </cfRule>
    <cfRule type="cellIs" dxfId="2843" priority="4781" operator="greaterThanOrEqual">
      <formula>1450</formula>
    </cfRule>
    <cfRule type="cellIs" dxfId="2842" priority="4782" operator="greaterThan">
      <formula>1400</formula>
    </cfRule>
  </conditionalFormatting>
  <conditionalFormatting sqref="K63:K75">
    <cfRule type="cellIs" dxfId="2841" priority="4774" operator="greaterThan">
      <formula>10000</formula>
    </cfRule>
    <cfRule type="cellIs" dxfId="2840" priority="4775" operator="greaterThanOrEqual">
      <formula>1500</formula>
    </cfRule>
    <cfRule type="cellIs" dxfId="2839" priority="4776" operator="greaterThanOrEqual">
      <formula>1475</formula>
    </cfRule>
    <cfRule type="cellIs" dxfId="2838" priority="4777" operator="greaterThanOrEqual">
      <formula>1450</formula>
    </cfRule>
    <cfRule type="cellIs" dxfId="2837" priority="4778" operator="greaterThanOrEqual">
      <formula>1400</formula>
    </cfRule>
  </conditionalFormatting>
  <conditionalFormatting sqref="K63:K75">
    <cfRule type="cellIs" dxfId="2836" priority="4770" operator="greaterThan">
      <formula>10000</formula>
    </cfRule>
    <cfRule type="cellIs" dxfId="2835" priority="4771" operator="greaterThanOrEqual">
      <formula>1500</formula>
    </cfRule>
    <cfRule type="cellIs" dxfId="2834" priority="4772" operator="greaterThanOrEqual">
      <formula>1450</formula>
    </cfRule>
    <cfRule type="cellIs" dxfId="2833" priority="4773" operator="greaterThan">
      <formula>1400</formula>
    </cfRule>
  </conditionalFormatting>
  <conditionalFormatting sqref="K63:K75">
    <cfRule type="cellIs" dxfId="2832" priority="4765" operator="greaterThan">
      <formula>10000</formula>
    </cfRule>
    <cfRule type="cellIs" dxfId="2831" priority="4766" operator="greaterThanOrEqual">
      <formula>1500</formula>
    </cfRule>
    <cfRule type="cellIs" dxfId="2830" priority="4767" operator="greaterThanOrEqual">
      <formula>1475</formula>
    </cfRule>
    <cfRule type="cellIs" dxfId="2829" priority="4768" operator="greaterThanOrEqual">
      <formula>1450</formula>
    </cfRule>
    <cfRule type="cellIs" dxfId="2828" priority="4769" operator="greaterThanOrEqual">
      <formula>1400</formula>
    </cfRule>
  </conditionalFormatting>
  <conditionalFormatting sqref="K55:K59">
    <cfRule type="cellIs" dxfId="2827" priority="4761" operator="greaterThan">
      <formula>10000</formula>
    </cfRule>
    <cfRule type="cellIs" dxfId="2826" priority="4762" operator="greaterThanOrEqual">
      <formula>1500</formula>
    </cfRule>
    <cfRule type="cellIs" dxfId="2825" priority="4763" operator="greaterThanOrEqual">
      <formula>1450</formula>
    </cfRule>
    <cfRule type="cellIs" dxfId="2824" priority="4764" operator="greaterThan">
      <formula>1400</formula>
    </cfRule>
  </conditionalFormatting>
  <conditionalFormatting sqref="K55:K59">
    <cfRule type="cellIs" dxfId="2823" priority="4756" operator="greaterThan">
      <formula>10000</formula>
    </cfRule>
    <cfRule type="cellIs" dxfId="2822" priority="4757" operator="greaterThanOrEqual">
      <formula>1500</formula>
    </cfRule>
    <cfRule type="cellIs" dxfId="2821" priority="4758" operator="greaterThanOrEqual">
      <formula>1475</formula>
    </cfRule>
    <cfRule type="cellIs" dxfId="2820" priority="4759" operator="greaterThanOrEqual">
      <formula>1450</formula>
    </cfRule>
    <cfRule type="cellIs" dxfId="2819" priority="4760" operator="greaterThanOrEqual">
      <formula>1400</formula>
    </cfRule>
  </conditionalFormatting>
  <conditionalFormatting sqref="K55:K59">
    <cfRule type="cellIs" dxfId="2818" priority="4740" operator="greaterThan">
      <formula>10000</formula>
    </cfRule>
    <cfRule type="cellIs" dxfId="2817" priority="4741" operator="greaterThanOrEqual">
      <formula>1500</formula>
    </cfRule>
    <cfRule type="cellIs" dxfId="2816" priority="4742" operator="greaterThanOrEqual">
      <formula>1450</formula>
    </cfRule>
    <cfRule type="cellIs" dxfId="2815" priority="4743" operator="greaterThan">
      <formula>1400</formula>
    </cfRule>
  </conditionalFormatting>
  <conditionalFormatting sqref="K55:K59">
    <cfRule type="cellIs" dxfId="2814" priority="4735" operator="greaterThan">
      <formula>10000</formula>
    </cfRule>
    <cfRule type="cellIs" dxfId="2813" priority="4736" operator="greaterThanOrEqual">
      <formula>1500</formula>
    </cfRule>
    <cfRule type="cellIs" dxfId="2812" priority="4737" operator="greaterThanOrEqual">
      <formula>1475</formula>
    </cfRule>
    <cfRule type="cellIs" dxfId="2811" priority="4738" operator="greaterThanOrEqual">
      <formula>1450</formula>
    </cfRule>
    <cfRule type="cellIs" dxfId="2810" priority="4739" operator="greaterThanOrEqual">
      <formula>1400</formula>
    </cfRule>
  </conditionalFormatting>
  <conditionalFormatting sqref="K55:K59">
    <cfRule type="cellIs" dxfId="2809" priority="4731" operator="greaterThan">
      <formula>10000</formula>
    </cfRule>
    <cfRule type="cellIs" dxfId="2808" priority="4732" operator="greaterThanOrEqual">
      <formula>1500</formula>
    </cfRule>
    <cfRule type="cellIs" dxfId="2807" priority="4733" operator="greaterThanOrEqual">
      <formula>1450</formula>
    </cfRule>
    <cfRule type="cellIs" dxfId="2806" priority="4734" operator="greaterThan">
      <formula>1400</formula>
    </cfRule>
  </conditionalFormatting>
  <conditionalFormatting sqref="K55:K59">
    <cfRule type="cellIs" dxfId="2805" priority="4726" operator="greaterThan">
      <formula>10000</formula>
    </cfRule>
    <cfRule type="cellIs" dxfId="2804" priority="4727" operator="greaterThanOrEqual">
      <formula>1500</formula>
    </cfRule>
    <cfRule type="cellIs" dxfId="2803" priority="4728" operator="greaterThanOrEqual">
      <formula>1475</formula>
    </cfRule>
    <cfRule type="cellIs" dxfId="2802" priority="4729" operator="greaterThanOrEqual">
      <formula>1450</formula>
    </cfRule>
    <cfRule type="cellIs" dxfId="2801" priority="4730" operator="greaterThanOrEqual">
      <formula>1400</formula>
    </cfRule>
  </conditionalFormatting>
  <conditionalFormatting sqref="K152">
    <cfRule type="cellIs" dxfId="2800" priority="4506" operator="greaterThan">
      <formula>10000</formula>
    </cfRule>
    <cfRule type="cellIs" dxfId="2799" priority="4507" operator="greaterThanOrEqual">
      <formula>1500</formula>
    </cfRule>
    <cfRule type="cellIs" dxfId="2798" priority="4508" operator="greaterThanOrEqual">
      <formula>1450</formula>
    </cfRule>
    <cfRule type="cellIs" dxfId="2797" priority="4509" operator="greaterThan">
      <formula>1400</formula>
    </cfRule>
  </conditionalFormatting>
  <conditionalFormatting sqref="K152">
    <cfRule type="cellIs" dxfId="2796" priority="4501" operator="greaterThan">
      <formula>10000</formula>
    </cfRule>
    <cfRule type="cellIs" dxfId="2795" priority="4502" operator="greaterThanOrEqual">
      <formula>1500</formula>
    </cfRule>
    <cfRule type="cellIs" dxfId="2794" priority="4503" operator="greaterThanOrEqual">
      <formula>1475</formula>
    </cfRule>
    <cfRule type="cellIs" dxfId="2793" priority="4504" operator="greaterThanOrEqual">
      <formula>1450</formula>
    </cfRule>
    <cfRule type="cellIs" dxfId="2792" priority="4505" operator="greaterThanOrEqual">
      <formula>1400</formula>
    </cfRule>
  </conditionalFormatting>
  <conditionalFormatting sqref="K152">
    <cfRule type="cellIs" dxfId="2791" priority="4497" operator="greaterThan">
      <formula>10000</formula>
    </cfRule>
    <cfRule type="cellIs" dxfId="2790" priority="4498" operator="greaterThanOrEqual">
      <formula>1500</formula>
    </cfRule>
    <cfRule type="cellIs" dxfId="2789" priority="4499" operator="greaterThanOrEqual">
      <formula>1450</formula>
    </cfRule>
    <cfRule type="cellIs" dxfId="2788" priority="4500" operator="greaterThan">
      <formula>1400</formula>
    </cfRule>
  </conditionalFormatting>
  <conditionalFormatting sqref="K152">
    <cfRule type="cellIs" dxfId="2787" priority="4492" operator="greaterThan">
      <formula>10000</formula>
    </cfRule>
    <cfRule type="cellIs" dxfId="2786" priority="4493" operator="greaterThanOrEqual">
      <formula>1500</formula>
    </cfRule>
    <cfRule type="cellIs" dxfId="2785" priority="4494" operator="greaterThanOrEqual">
      <formula>1475</formula>
    </cfRule>
    <cfRule type="cellIs" dxfId="2784" priority="4495" operator="greaterThanOrEqual">
      <formula>1450</formula>
    </cfRule>
    <cfRule type="cellIs" dxfId="2783" priority="4496" operator="greaterThanOrEqual">
      <formula>1400</formula>
    </cfRule>
  </conditionalFormatting>
  <conditionalFormatting sqref="K146">
    <cfRule type="cellIs" dxfId="2782" priority="4641" operator="greaterThan">
      <formula>10000</formula>
    </cfRule>
    <cfRule type="cellIs" dxfId="2781" priority="4642" operator="greaterThanOrEqual">
      <formula>1500</formula>
    </cfRule>
    <cfRule type="cellIs" dxfId="2780" priority="4643" operator="greaterThanOrEqual">
      <formula>1450</formula>
    </cfRule>
    <cfRule type="cellIs" dxfId="2779" priority="4644" operator="greaterThan">
      <formula>1400</formula>
    </cfRule>
  </conditionalFormatting>
  <conditionalFormatting sqref="K146">
    <cfRule type="cellIs" dxfId="2778" priority="4636" operator="greaterThan">
      <formula>10000</formula>
    </cfRule>
    <cfRule type="cellIs" dxfId="2777" priority="4637" operator="greaterThanOrEqual">
      <formula>1500</formula>
    </cfRule>
    <cfRule type="cellIs" dxfId="2776" priority="4638" operator="greaterThanOrEqual">
      <formula>1475</formula>
    </cfRule>
    <cfRule type="cellIs" dxfId="2775" priority="4639" operator="greaterThanOrEqual">
      <formula>1450</formula>
    </cfRule>
    <cfRule type="cellIs" dxfId="2774" priority="4640" operator="greaterThanOrEqual">
      <formula>1400</formula>
    </cfRule>
  </conditionalFormatting>
  <conditionalFormatting sqref="K146">
    <cfRule type="cellIs" dxfId="2773" priority="4632" operator="greaterThan">
      <formula>10000</formula>
    </cfRule>
    <cfRule type="cellIs" dxfId="2772" priority="4633" operator="greaterThanOrEqual">
      <formula>1500</formula>
    </cfRule>
    <cfRule type="cellIs" dxfId="2771" priority="4634" operator="greaterThanOrEqual">
      <formula>1450</formula>
    </cfRule>
    <cfRule type="cellIs" dxfId="2770" priority="4635" operator="greaterThan">
      <formula>1400</formula>
    </cfRule>
  </conditionalFormatting>
  <conditionalFormatting sqref="K146">
    <cfRule type="cellIs" dxfId="2769" priority="4627" operator="greaterThan">
      <formula>10000</formula>
    </cfRule>
    <cfRule type="cellIs" dxfId="2768" priority="4628" operator="greaterThanOrEqual">
      <formula>1500</formula>
    </cfRule>
    <cfRule type="cellIs" dxfId="2767" priority="4629" operator="greaterThanOrEqual">
      <formula>1475</formula>
    </cfRule>
    <cfRule type="cellIs" dxfId="2766" priority="4630" operator="greaterThanOrEqual">
      <formula>1450</formula>
    </cfRule>
    <cfRule type="cellIs" dxfId="2765" priority="4631" operator="greaterThanOrEqual">
      <formula>1400</formula>
    </cfRule>
  </conditionalFormatting>
  <conditionalFormatting sqref="K147">
    <cfRule type="cellIs" dxfId="2764" priority="4623" operator="greaterThan">
      <formula>10000</formula>
    </cfRule>
    <cfRule type="cellIs" dxfId="2763" priority="4624" operator="greaterThanOrEqual">
      <formula>1500</formula>
    </cfRule>
    <cfRule type="cellIs" dxfId="2762" priority="4625" operator="greaterThanOrEqual">
      <formula>1450</formula>
    </cfRule>
    <cfRule type="cellIs" dxfId="2761" priority="4626" operator="greaterThan">
      <formula>1400</formula>
    </cfRule>
  </conditionalFormatting>
  <conditionalFormatting sqref="K147">
    <cfRule type="cellIs" dxfId="2760" priority="4618" operator="greaterThan">
      <formula>10000</formula>
    </cfRule>
    <cfRule type="cellIs" dxfId="2759" priority="4619" operator="greaterThanOrEqual">
      <formula>1500</formula>
    </cfRule>
    <cfRule type="cellIs" dxfId="2758" priority="4620" operator="greaterThanOrEqual">
      <formula>1475</formula>
    </cfRule>
    <cfRule type="cellIs" dxfId="2757" priority="4621" operator="greaterThanOrEqual">
      <formula>1450</formula>
    </cfRule>
    <cfRule type="cellIs" dxfId="2756" priority="4622" operator="greaterThanOrEqual">
      <formula>1400</formula>
    </cfRule>
  </conditionalFormatting>
  <conditionalFormatting sqref="K147">
    <cfRule type="cellIs" dxfId="2755" priority="4614" operator="greaterThan">
      <formula>10000</formula>
    </cfRule>
    <cfRule type="cellIs" dxfId="2754" priority="4615" operator="greaterThanOrEqual">
      <formula>1500</formula>
    </cfRule>
    <cfRule type="cellIs" dxfId="2753" priority="4616" operator="greaterThanOrEqual">
      <formula>1450</formula>
    </cfRule>
    <cfRule type="cellIs" dxfId="2752" priority="4617" operator="greaterThan">
      <formula>1400</formula>
    </cfRule>
  </conditionalFormatting>
  <conditionalFormatting sqref="K147">
    <cfRule type="cellIs" dxfId="2751" priority="4609" operator="greaterThan">
      <formula>10000</formula>
    </cfRule>
    <cfRule type="cellIs" dxfId="2750" priority="4610" operator="greaterThanOrEqual">
      <formula>1500</formula>
    </cfRule>
    <cfRule type="cellIs" dxfId="2749" priority="4611" operator="greaterThanOrEqual">
      <formula>1475</formula>
    </cfRule>
    <cfRule type="cellIs" dxfId="2748" priority="4612" operator="greaterThanOrEqual">
      <formula>1450</formula>
    </cfRule>
    <cfRule type="cellIs" dxfId="2747" priority="4613" operator="greaterThanOrEqual">
      <formula>1400</formula>
    </cfRule>
  </conditionalFormatting>
  <conditionalFormatting sqref="K148">
    <cfRule type="cellIs" dxfId="2746" priority="4605" operator="greaterThan">
      <formula>10000</formula>
    </cfRule>
    <cfRule type="cellIs" dxfId="2745" priority="4606" operator="greaterThanOrEqual">
      <formula>1500</formula>
    </cfRule>
    <cfRule type="cellIs" dxfId="2744" priority="4607" operator="greaterThanOrEqual">
      <formula>1450</formula>
    </cfRule>
    <cfRule type="cellIs" dxfId="2743" priority="4608" operator="greaterThan">
      <formula>1400</formula>
    </cfRule>
  </conditionalFormatting>
  <conditionalFormatting sqref="K148">
    <cfRule type="cellIs" dxfId="2742" priority="4600" operator="greaterThan">
      <formula>10000</formula>
    </cfRule>
    <cfRule type="cellIs" dxfId="2741" priority="4601" operator="greaterThanOrEqual">
      <formula>1500</formula>
    </cfRule>
    <cfRule type="cellIs" dxfId="2740" priority="4602" operator="greaterThanOrEqual">
      <formula>1475</formula>
    </cfRule>
    <cfRule type="cellIs" dxfId="2739" priority="4603" operator="greaterThanOrEqual">
      <formula>1450</formula>
    </cfRule>
    <cfRule type="cellIs" dxfId="2738" priority="4604" operator="greaterThanOrEqual">
      <formula>1400</formula>
    </cfRule>
  </conditionalFormatting>
  <conditionalFormatting sqref="K148">
    <cfRule type="cellIs" dxfId="2737" priority="4596" operator="greaterThan">
      <formula>10000</formula>
    </cfRule>
    <cfRule type="cellIs" dxfId="2736" priority="4597" operator="greaterThanOrEqual">
      <formula>1500</formula>
    </cfRule>
    <cfRule type="cellIs" dxfId="2735" priority="4598" operator="greaterThanOrEqual">
      <formula>1450</formula>
    </cfRule>
    <cfRule type="cellIs" dxfId="2734" priority="4599" operator="greaterThan">
      <formula>1400</formula>
    </cfRule>
  </conditionalFormatting>
  <conditionalFormatting sqref="K148">
    <cfRule type="cellIs" dxfId="2733" priority="4591" operator="greaterThan">
      <formula>10000</formula>
    </cfRule>
    <cfRule type="cellIs" dxfId="2732" priority="4592" operator="greaterThanOrEqual">
      <formula>1500</formula>
    </cfRule>
    <cfRule type="cellIs" dxfId="2731" priority="4593" operator="greaterThanOrEqual">
      <formula>1475</formula>
    </cfRule>
    <cfRule type="cellIs" dxfId="2730" priority="4594" operator="greaterThanOrEqual">
      <formula>1450</formula>
    </cfRule>
    <cfRule type="cellIs" dxfId="2729" priority="4595" operator="greaterThanOrEqual">
      <formula>1400</formula>
    </cfRule>
  </conditionalFormatting>
  <conditionalFormatting sqref="K149">
    <cfRule type="cellIs" dxfId="2728" priority="4587" operator="greaterThan">
      <formula>10000</formula>
    </cfRule>
    <cfRule type="cellIs" dxfId="2727" priority="4588" operator="greaterThanOrEqual">
      <formula>1500</formula>
    </cfRule>
    <cfRule type="cellIs" dxfId="2726" priority="4589" operator="greaterThanOrEqual">
      <formula>1450</formula>
    </cfRule>
    <cfRule type="cellIs" dxfId="2725" priority="4590" operator="greaterThan">
      <formula>1400</formula>
    </cfRule>
  </conditionalFormatting>
  <conditionalFormatting sqref="K149">
    <cfRule type="cellIs" dxfId="2724" priority="4582" operator="greaterThan">
      <formula>10000</formula>
    </cfRule>
    <cfRule type="cellIs" dxfId="2723" priority="4583" operator="greaterThanOrEqual">
      <formula>1500</formula>
    </cfRule>
    <cfRule type="cellIs" dxfId="2722" priority="4584" operator="greaterThanOrEqual">
      <formula>1475</formula>
    </cfRule>
    <cfRule type="cellIs" dxfId="2721" priority="4585" operator="greaterThanOrEqual">
      <formula>1450</formula>
    </cfRule>
    <cfRule type="cellIs" dxfId="2720" priority="4586" operator="greaterThanOrEqual">
      <formula>1400</formula>
    </cfRule>
  </conditionalFormatting>
  <conditionalFormatting sqref="K149">
    <cfRule type="cellIs" dxfId="2719" priority="4578" operator="greaterThan">
      <formula>10000</formula>
    </cfRule>
    <cfRule type="cellIs" dxfId="2718" priority="4579" operator="greaterThanOrEqual">
      <formula>1500</formula>
    </cfRule>
    <cfRule type="cellIs" dxfId="2717" priority="4580" operator="greaterThanOrEqual">
      <formula>1450</formula>
    </cfRule>
    <cfRule type="cellIs" dxfId="2716" priority="4581" operator="greaterThan">
      <formula>1400</formula>
    </cfRule>
  </conditionalFormatting>
  <conditionalFormatting sqref="K149">
    <cfRule type="cellIs" dxfId="2715" priority="4573" operator="greaterThan">
      <formula>10000</formula>
    </cfRule>
    <cfRule type="cellIs" dxfId="2714" priority="4574" operator="greaterThanOrEqual">
      <formula>1500</formula>
    </cfRule>
    <cfRule type="cellIs" dxfId="2713" priority="4575" operator="greaterThanOrEqual">
      <formula>1475</formula>
    </cfRule>
    <cfRule type="cellIs" dxfId="2712" priority="4576" operator="greaterThanOrEqual">
      <formula>1450</formula>
    </cfRule>
    <cfRule type="cellIs" dxfId="2711" priority="4577" operator="greaterThanOrEqual">
      <formula>1400</formula>
    </cfRule>
  </conditionalFormatting>
  <conditionalFormatting sqref="K151">
    <cfRule type="cellIs" dxfId="2710" priority="4551" operator="greaterThan">
      <formula>10000</formula>
    </cfRule>
    <cfRule type="cellIs" dxfId="2709" priority="4552" operator="greaterThanOrEqual">
      <formula>1500</formula>
    </cfRule>
    <cfRule type="cellIs" dxfId="2708" priority="4553" operator="greaterThanOrEqual">
      <formula>1450</formula>
    </cfRule>
    <cfRule type="cellIs" dxfId="2707" priority="4554" operator="greaterThan">
      <formula>1400</formula>
    </cfRule>
  </conditionalFormatting>
  <conditionalFormatting sqref="K151">
    <cfRule type="cellIs" dxfId="2706" priority="4546" operator="greaterThan">
      <formula>10000</formula>
    </cfRule>
    <cfRule type="cellIs" dxfId="2705" priority="4547" operator="greaterThanOrEqual">
      <formula>1500</formula>
    </cfRule>
    <cfRule type="cellIs" dxfId="2704" priority="4548" operator="greaterThanOrEqual">
      <formula>1475</formula>
    </cfRule>
    <cfRule type="cellIs" dxfId="2703" priority="4549" operator="greaterThanOrEqual">
      <formula>1450</formula>
    </cfRule>
    <cfRule type="cellIs" dxfId="2702" priority="4550" operator="greaterThanOrEqual">
      <formula>1400</formula>
    </cfRule>
  </conditionalFormatting>
  <conditionalFormatting sqref="K151">
    <cfRule type="cellIs" dxfId="2701" priority="4542" operator="greaterThan">
      <formula>10000</formula>
    </cfRule>
    <cfRule type="cellIs" dxfId="2700" priority="4543" operator="greaterThanOrEqual">
      <formula>1500</formula>
    </cfRule>
    <cfRule type="cellIs" dxfId="2699" priority="4544" operator="greaterThanOrEqual">
      <formula>1450</formula>
    </cfRule>
    <cfRule type="cellIs" dxfId="2698" priority="4545" operator="greaterThan">
      <formula>1400</formula>
    </cfRule>
  </conditionalFormatting>
  <conditionalFormatting sqref="K151">
    <cfRule type="cellIs" dxfId="2697" priority="4537" operator="greaterThan">
      <formula>10000</formula>
    </cfRule>
    <cfRule type="cellIs" dxfId="2696" priority="4538" operator="greaterThanOrEqual">
      <formula>1500</formula>
    </cfRule>
    <cfRule type="cellIs" dxfId="2695" priority="4539" operator="greaterThanOrEqual">
      <formula>1475</formula>
    </cfRule>
    <cfRule type="cellIs" dxfId="2694" priority="4540" operator="greaterThanOrEqual">
      <formula>1450</formula>
    </cfRule>
    <cfRule type="cellIs" dxfId="2693" priority="4541" operator="greaterThanOrEqual">
      <formula>1400</formula>
    </cfRule>
  </conditionalFormatting>
  <conditionalFormatting sqref="K151">
    <cfRule type="cellIs" dxfId="2692" priority="4533" operator="greaterThan">
      <formula>10000</formula>
    </cfRule>
    <cfRule type="cellIs" dxfId="2691" priority="4534" operator="greaterThanOrEqual">
      <formula>1500</formula>
    </cfRule>
    <cfRule type="cellIs" dxfId="2690" priority="4535" operator="greaterThanOrEqual">
      <formula>1450</formula>
    </cfRule>
    <cfRule type="cellIs" dxfId="2689" priority="4536" operator="greaterThan">
      <formula>1400</formula>
    </cfRule>
  </conditionalFormatting>
  <conditionalFormatting sqref="K151">
    <cfRule type="cellIs" dxfId="2688" priority="4528" operator="greaterThan">
      <formula>10000</formula>
    </cfRule>
    <cfRule type="cellIs" dxfId="2687" priority="4529" operator="greaterThanOrEqual">
      <formula>1500</formula>
    </cfRule>
    <cfRule type="cellIs" dxfId="2686" priority="4530" operator="greaterThanOrEqual">
      <formula>1475</formula>
    </cfRule>
    <cfRule type="cellIs" dxfId="2685" priority="4531" operator="greaterThanOrEqual">
      <formula>1450</formula>
    </cfRule>
    <cfRule type="cellIs" dxfId="2684" priority="4532" operator="greaterThanOrEqual">
      <formula>1400</formula>
    </cfRule>
  </conditionalFormatting>
  <conditionalFormatting sqref="K152">
    <cfRule type="cellIs" dxfId="2683" priority="4524" operator="greaterThan">
      <formula>10000</formula>
    </cfRule>
    <cfRule type="cellIs" dxfId="2682" priority="4525" operator="greaterThanOrEqual">
      <formula>1500</formula>
    </cfRule>
    <cfRule type="cellIs" dxfId="2681" priority="4526" operator="greaterThanOrEqual">
      <formula>1450</formula>
    </cfRule>
    <cfRule type="cellIs" dxfId="2680" priority="4527" operator="greaterThan">
      <formula>1400</formula>
    </cfRule>
  </conditionalFormatting>
  <conditionalFormatting sqref="K152">
    <cfRule type="cellIs" dxfId="2679" priority="4519" operator="greaterThan">
      <formula>10000</formula>
    </cfRule>
    <cfRule type="cellIs" dxfId="2678" priority="4520" operator="greaterThanOrEqual">
      <formula>1500</formula>
    </cfRule>
    <cfRule type="cellIs" dxfId="2677" priority="4521" operator="greaterThanOrEqual">
      <formula>1475</formula>
    </cfRule>
    <cfRule type="cellIs" dxfId="2676" priority="4522" operator="greaterThanOrEqual">
      <formula>1450</formula>
    </cfRule>
    <cfRule type="cellIs" dxfId="2675" priority="4523" operator="greaterThanOrEqual">
      <formula>1400</formula>
    </cfRule>
  </conditionalFormatting>
  <conditionalFormatting sqref="K152">
    <cfRule type="cellIs" dxfId="2674" priority="4515" operator="greaterThan">
      <formula>10000</formula>
    </cfRule>
    <cfRule type="cellIs" dxfId="2673" priority="4516" operator="greaterThanOrEqual">
      <formula>1500</formula>
    </cfRule>
    <cfRule type="cellIs" dxfId="2672" priority="4517" operator="greaterThanOrEqual">
      <formula>1450</formula>
    </cfRule>
    <cfRule type="cellIs" dxfId="2671" priority="4518" operator="greaterThan">
      <formula>1400</formula>
    </cfRule>
  </conditionalFormatting>
  <conditionalFormatting sqref="K152">
    <cfRule type="cellIs" dxfId="2670" priority="4510" operator="greaterThan">
      <formula>10000</formula>
    </cfRule>
    <cfRule type="cellIs" dxfId="2669" priority="4511" operator="greaterThanOrEqual">
      <formula>1500</formula>
    </cfRule>
    <cfRule type="cellIs" dxfId="2668" priority="4512" operator="greaterThanOrEqual">
      <formula>1475</formula>
    </cfRule>
    <cfRule type="cellIs" dxfId="2667" priority="4513" operator="greaterThanOrEqual">
      <formula>1450</formula>
    </cfRule>
    <cfRule type="cellIs" dxfId="2666" priority="4514" operator="greaterThanOrEqual">
      <formula>1400</formula>
    </cfRule>
  </conditionalFormatting>
  <conditionalFormatting sqref="F242:F1048576 F239 F207 F175:F181 F1:F166">
    <cfRule type="top10" priority="4413" bottom="1" rank="3"/>
  </conditionalFormatting>
  <conditionalFormatting sqref="K134">
    <cfRule type="cellIs" dxfId="2665" priority="4300" operator="greaterThan">
      <formula>10000</formula>
    </cfRule>
    <cfRule type="cellIs" dxfId="2664" priority="4301" operator="greaterThanOrEqual">
      <formula>1500</formula>
    </cfRule>
    <cfRule type="cellIs" dxfId="2663" priority="4302" operator="greaterThanOrEqual">
      <formula>1450</formula>
    </cfRule>
    <cfRule type="cellIs" dxfId="2662" priority="4303" operator="greaterThan">
      <formula>1400</formula>
    </cfRule>
  </conditionalFormatting>
  <conditionalFormatting sqref="K134">
    <cfRule type="cellIs" dxfId="2661" priority="4295" operator="greaterThan">
      <formula>10000</formula>
    </cfRule>
    <cfRule type="cellIs" dxfId="2660" priority="4296" operator="greaterThanOrEqual">
      <formula>1500</formula>
    </cfRule>
    <cfRule type="cellIs" dxfId="2659" priority="4297" operator="greaterThanOrEqual">
      <formula>1475</formula>
    </cfRule>
    <cfRule type="cellIs" dxfId="2658" priority="4298" operator="greaterThanOrEqual">
      <formula>1450</formula>
    </cfRule>
    <cfRule type="cellIs" dxfId="2657" priority="4299" operator="greaterThanOrEqual">
      <formula>1400</formula>
    </cfRule>
  </conditionalFormatting>
  <conditionalFormatting sqref="K134">
    <cfRule type="cellIs" dxfId="2656" priority="4291" operator="greaterThan">
      <formula>10000</formula>
    </cfRule>
    <cfRule type="cellIs" dxfId="2655" priority="4292" operator="greaterThanOrEqual">
      <formula>1500</formula>
    </cfRule>
    <cfRule type="cellIs" dxfId="2654" priority="4293" operator="greaterThanOrEqual">
      <formula>1450</formula>
    </cfRule>
    <cfRule type="cellIs" dxfId="2653" priority="4294" operator="greaterThan">
      <formula>1400</formula>
    </cfRule>
  </conditionalFormatting>
  <conditionalFormatting sqref="K134">
    <cfRule type="cellIs" dxfId="2652" priority="4286" operator="greaterThan">
      <formula>10000</formula>
    </cfRule>
    <cfRule type="cellIs" dxfId="2651" priority="4287" operator="greaterThanOrEqual">
      <formula>1500</formula>
    </cfRule>
    <cfRule type="cellIs" dxfId="2650" priority="4288" operator="greaterThanOrEqual">
      <formula>1475</formula>
    </cfRule>
    <cfRule type="cellIs" dxfId="2649" priority="4289" operator="greaterThanOrEqual">
      <formula>1450</formula>
    </cfRule>
    <cfRule type="cellIs" dxfId="2648" priority="4290" operator="greaterThanOrEqual">
      <formula>1400</formula>
    </cfRule>
  </conditionalFormatting>
  <conditionalFormatting sqref="K134">
    <cfRule type="cellIs" dxfId="2647" priority="4282" operator="greaterThan">
      <formula>10000</formula>
    </cfRule>
    <cfRule type="cellIs" dxfId="2646" priority="4283" operator="greaterThanOrEqual">
      <formula>1500</formula>
    </cfRule>
    <cfRule type="cellIs" dxfId="2645" priority="4284" operator="greaterThanOrEqual">
      <formula>1450</formula>
    </cfRule>
    <cfRule type="cellIs" dxfId="2644" priority="4285" operator="greaterThan">
      <formula>1400</formula>
    </cfRule>
  </conditionalFormatting>
  <conditionalFormatting sqref="K134">
    <cfRule type="cellIs" dxfId="2643" priority="4277" operator="greaterThan">
      <formula>10000</formula>
    </cfRule>
    <cfRule type="cellIs" dxfId="2642" priority="4278" operator="greaterThanOrEqual">
      <formula>1500</formula>
    </cfRule>
    <cfRule type="cellIs" dxfId="2641" priority="4279" operator="greaterThanOrEqual">
      <formula>1475</formula>
    </cfRule>
    <cfRule type="cellIs" dxfId="2640" priority="4280" operator="greaterThanOrEqual">
      <formula>1450</formula>
    </cfRule>
    <cfRule type="cellIs" dxfId="2639" priority="4281" operator="greaterThanOrEqual">
      <formula>1400</formula>
    </cfRule>
  </conditionalFormatting>
  <conditionalFormatting sqref="F167">
    <cfRule type="top10" priority="4088" bottom="1" rank="3"/>
  </conditionalFormatting>
  <conditionalFormatting sqref="K169">
    <cfRule type="cellIs" dxfId="2638" priority="4078" operator="greaterThan">
      <formula>10000</formula>
    </cfRule>
    <cfRule type="cellIs" dxfId="2637" priority="4079" operator="greaterThanOrEqual">
      <formula>1500</formula>
    </cfRule>
    <cfRule type="cellIs" dxfId="2636" priority="4080" operator="greaterThanOrEqual">
      <formula>1450</formula>
    </cfRule>
    <cfRule type="cellIs" dxfId="2635" priority="4081" operator="greaterThan">
      <formula>1400</formula>
    </cfRule>
  </conditionalFormatting>
  <conditionalFormatting sqref="K169">
    <cfRule type="cellIs" dxfId="2634" priority="4073" operator="greaterThan">
      <formula>10000</formula>
    </cfRule>
    <cfRule type="cellIs" dxfId="2633" priority="4074" operator="greaterThanOrEqual">
      <formula>1500</formula>
    </cfRule>
    <cfRule type="cellIs" dxfId="2632" priority="4075" operator="greaterThanOrEqual">
      <formula>1475</formula>
    </cfRule>
    <cfRule type="cellIs" dxfId="2631" priority="4076" operator="greaterThanOrEqual">
      <formula>1450</formula>
    </cfRule>
    <cfRule type="cellIs" dxfId="2630" priority="4077" operator="greaterThanOrEqual">
      <formula>1400</formula>
    </cfRule>
  </conditionalFormatting>
  <conditionalFormatting sqref="K169">
    <cfRule type="cellIs" dxfId="2629" priority="4069" operator="greaterThan">
      <formula>10000</formula>
    </cfRule>
    <cfRule type="cellIs" dxfId="2628" priority="4070" operator="greaterThanOrEqual">
      <formula>1500</formula>
    </cfRule>
    <cfRule type="cellIs" dxfId="2627" priority="4071" operator="greaterThanOrEqual">
      <formula>1450</formula>
    </cfRule>
    <cfRule type="cellIs" dxfId="2626" priority="4072" operator="greaterThan">
      <formula>1400</formula>
    </cfRule>
  </conditionalFormatting>
  <conditionalFormatting sqref="K169">
    <cfRule type="cellIs" dxfId="2625" priority="4064" operator="greaterThan">
      <formula>10000</formula>
    </cfRule>
    <cfRule type="cellIs" dxfId="2624" priority="4065" operator="greaterThanOrEqual">
      <formula>1500</formula>
    </cfRule>
    <cfRule type="cellIs" dxfId="2623" priority="4066" operator="greaterThanOrEqual">
      <formula>1475</formula>
    </cfRule>
    <cfRule type="cellIs" dxfId="2622" priority="4067" operator="greaterThanOrEqual">
      <formula>1450</formula>
    </cfRule>
    <cfRule type="cellIs" dxfId="2621" priority="4068" operator="greaterThanOrEqual">
      <formula>1400</formula>
    </cfRule>
  </conditionalFormatting>
  <conditionalFormatting sqref="F169">
    <cfRule type="top10" priority="4044" bottom="1" rank="3"/>
  </conditionalFormatting>
  <conditionalFormatting sqref="K170">
    <cfRule type="cellIs" dxfId="2620" priority="4034" operator="greaterThan">
      <formula>10000</formula>
    </cfRule>
    <cfRule type="cellIs" dxfId="2619" priority="4035" operator="greaterThanOrEqual">
      <formula>1500</formula>
    </cfRule>
    <cfRule type="cellIs" dxfId="2618" priority="4036" operator="greaterThanOrEqual">
      <formula>1450</formula>
    </cfRule>
    <cfRule type="cellIs" dxfId="2617" priority="4037" operator="greaterThan">
      <formula>1400</formula>
    </cfRule>
  </conditionalFormatting>
  <conditionalFormatting sqref="K170">
    <cfRule type="cellIs" dxfId="2616" priority="4029" operator="greaterThan">
      <formula>10000</formula>
    </cfRule>
    <cfRule type="cellIs" dxfId="2615" priority="4030" operator="greaterThanOrEqual">
      <formula>1500</formula>
    </cfRule>
    <cfRule type="cellIs" dxfId="2614" priority="4031" operator="greaterThanOrEqual">
      <formula>1475</formula>
    </cfRule>
    <cfRule type="cellIs" dxfId="2613" priority="4032" operator="greaterThanOrEqual">
      <formula>1450</formula>
    </cfRule>
    <cfRule type="cellIs" dxfId="2612" priority="4033" operator="greaterThanOrEqual">
      <formula>1400</formula>
    </cfRule>
  </conditionalFormatting>
  <conditionalFormatting sqref="K170">
    <cfRule type="cellIs" dxfId="2611" priority="4025" operator="greaterThan">
      <formula>10000</formula>
    </cfRule>
    <cfRule type="cellIs" dxfId="2610" priority="4026" operator="greaterThanOrEqual">
      <formula>1500</formula>
    </cfRule>
    <cfRule type="cellIs" dxfId="2609" priority="4027" operator="greaterThanOrEqual">
      <formula>1450</formula>
    </cfRule>
    <cfRule type="cellIs" dxfId="2608" priority="4028" operator="greaterThan">
      <formula>1400</formula>
    </cfRule>
  </conditionalFormatting>
  <conditionalFormatting sqref="K170">
    <cfRule type="cellIs" dxfId="2607" priority="4020" operator="greaterThan">
      <formula>10000</formula>
    </cfRule>
    <cfRule type="cellIs" dxfId="2606" priority="4021" operator="greaterThanOrEqual">
      <formula>1500</formula>
    </cfRule>
    <cfRule type="cellIs" dxfId="2605" priority="4022" operator="greaterThanOrEqual">
      <formula>1475</formula>
    </cfRule>
    <cfRule type="cellIs" dxfId="2604" priority="4023" operator="greaterThanOrEqual">
      <formula>1450</formula>
    </cfRule>
    <cfRule type="cellIs" dxfId="2603" priority="4024" operator="greaterThanOrEqual">
      <formula>1400</formula>
    </cfRule>
  </conditionalFormatting>
  <conditionalFormatting sqref="F170">
    <cfRule type="top10" priority="4001" bottom="1" rank="3"/>
  </conditionalFormatting>
  <conditionalFormatting sqref="K174">
    <cfRule type="cellIs" dxfId="2602" priority="3991" operator="greaterThan">
      <formula>10000</formula>
    </cfRule>
    <cfRule type="cellIs" dxfId="2601" priority="3992" operator="greaterThanOrEqual">
      <formula>1500</formula>
    </cfRule>
    <cfRule type="cellIs" dxfId="2600" priority="3993" operator="greaterThanOrEqual">
      <formula>1450</formula>
    </cfRule>
    <cfRule type="cellIs" dxfId="2599" priority="3994" operator="greaterThan">
      <formula>1400</formula>
    </cfRule>
  </conditionalFormatting>
  <conditionalFormatting sqref="K174">
    <cfRule type="cellIs" dxfId="2598" priority="3986" operator="greaterThan">
      <formula>10000</formula>
    </cfRule>
    <cfRule type="cellIs" dxfId="2597" priority="3987" operator="greaterThanOrEqual">
      <formula>1500</formula>
    </cfRule>
    <cfRule type="cellIs" dxfId="2596" priority="3988" operator="greaterThanOrEqual">
      <formula>1475</formula>
    </cfRule>
    <cfRule type="cellIs" dxfId="2595" priority="3989" operator="greaterThanOrEqual">
      <formula>1450</formula>
    </cfRule>
    <cfRule type="cellIs" dxfId="2594" priority="3990" operator="greaterThanOrEqual">
      <formula>1400</formula>
    </cfRule>
  </conditionalFormatting>
  <conditionalFormatting sqref="K174">
    <cfRule type="cellIs" dxfId="2593" priority="3982" operator="greaterThan">
      <formula>10000</formula>
    </cfRule>
    <cfRule type="cellIs" dxfId="2592" priority="3983" operator="greaterThanOrEqual">
      <formula>1500</formula>
    </cfRule>
    <cfRule type="cellIs" dxfId="2591" priority="3984" operator="greaterThanOrEqual">
      <formula>1450</formula>
    </cfRule>
    <cfRule type="cellIs" dxfId="2590" priority="3985" operator="greaterThan">
      <formula>1400</formula>
    </cfRule>
  </conditionalFormatting>
  <conditionalFormatting sqref="K174">
    <cfRule type="cellIs" dxfId="2589" priority="3977" operator="greaterThan">
      <formula>10000</formula>
    </cfRule>
    <cfRule type="cellIs" dxfId="2588" priority="3978" operator="greaterThanOrEqual">
      <formula>1500</formula>
    </cfRule>
    <cfRule type="cellIs" dxfId="2587" priority="3979" operator="greaterThanOrEqual">
      <formula>1475</formula>
    </cfRule>
    <cfRule type="cellIs" dxfId="2586" priority="3980" operator="greaterThanOrEqual">
      <formula>1450</formula>
    </cfRule>
    <cfRule type="cellIs" dxfId="2585" priority="3981" operator="greaterThanOrEqual">
      <formula>1400</formula>
    </cfRule>
  </conditionalFormatting>
  <conditionalFormatting sqref="K174">
    <cfRule type="cellIs" dxfId="2584" priority="3949" operator="greaterThan">
      <formula>10000</formula>
    </cfRule>
    <cfRule type="cellIs" dxfId="2583" priority="3950" operator="greaterThanOrEqual">
      <formula>1500</formula>
    </cfRule>
    <cfRule type="cellIs" dxfId="2582" priority="3951" operator="greaterThanOrEqual">
      <formula>1450</formula>
    </cfRule>
    <cfRule type="cellIs" dxfId="2581" priority="3952" operator="greaterThan">
      <formula>1400</formula>
    </cfRule>
  </conditionalFormatting>
  <conditionalFormatting sqref="K174">
    <cfRule type="cellIs" dxfId="2580" priority="3944" operator="greaterThan">
      <formula>10000</formula>
    </cfRule>
    <cfRule type="cellIs" dxfId="2579" priority="3945" operator="greaterThanOrEqual">
      <formula>1500</formula>
    </cfRule>
    <cfRule type="cellIs" dxfId="2578" priority="3946" operator="greaterThanOrEqual">
      <formula>1475</formula>
    </cfRule>
    <cfRule type="cellIs" dxfId="2577" priority="3947" operator="greaterThanOrEqual">
      <formula>1450</formula>
    </cfRule>
    <cfRule type="cellIs" dxfId="2576" priority="3948" operator="greaterThanOrEqual">
      <formula>1400</formula>
    </cfRule>
  </conditionalFormatting>
  <conditionalFormatting sqref="K174">
    <cfRule type="cellIs" dxfId="2575" priority="3940" operator="greaterThan">
      <formula>10000</formula>
    </cfRule>
    <cfRule type="cellIs" dxfId="2574" priority="3941" operator="greaterThanOrEqual">
      <formula>1500</formula>
    </cfRule>
    <cfRule type="cellIs" dxfId="2573" priority="3942" operator="greaterThanOrEqual">
      <formula>1450</formula>
    </cfRule>
    <cfRule type="cellIs" dxfId="2572" priority="3943" operator="greaterThan">
      <formula>1400</formula>
    </cfRule>
  </conditionalFormatting>
  <conditionalFormatting sqref="K174">
    <cfRule type="cellIs" dxfId="2571" priority="3935" operator="greaterThan">
      <formula>10000</formula>
    </cfRule>
    <cfRule type="cellIs" dxfId="2570" priority="3936" operator="greaterThanOrEqual">
      <formula>1500</formula>
    </cfRule>
    <cfRule type="cellIs" dxfId="2569" priority="3937" operator="greaterThanOrEqual">
      <formula>1475</formula>
    </cfRule>
    <cfRule type="cellIs" dxfId="2568" priority="3938" operator="greaterThanOrEqual">
      <formula>1450</formula>
    </cfRule>
    <cfRule type="cellIs" dxfId="2567" priority="3939" operator="greaterThanOrEqual">
      <formula>1400</formula>
    </cfRule>
  </conditionalFormatting>
  <conditionalFormatting sqref="F174">
    <cfRule type="top10" priority="3916" bottom="1" rank="3"/>
  </conditionalFormatting>
  <conditionalFormatting sqref="K145">
    <cfRule type="cellIs" dxfId="2566" priority="3570" operator="greaterThan">
      <formula>10000</formula>
    </cfRule>
    <cfRule type="cellIs" dxfId="2565" priority="3571" operator="greaterThanOrEqual">
      <formula>1500</formula>
    </cfRule>
    <cfRule type="cellIs" dxfId="2564" priority="3572" operator="greaterThanOrEqual">
      <formula>1450</formula>
    </cfRule>
    <cfRule type="cellIs" dxfId="2563" priority="3573" operator="greaterThan">
      <formula>1400</formula>
    </cfRule>
  </conditionalFormatting>
  <conditionalFormatting sqref="K145">
    <cfRule type="cellIs" dxfId="2562" priority="3565" operator="greaterThan">
      <formula>10000</formula>
    </cfRule>
    <cfRule type="cellIs" dxfId="2561" priority="3566" operator="greaterThanOrEqual">
      <formula>1500</formula>
    </cfRule>
    <cfRule type="cellIs" dxfId="2560" priority="3567" operator="greaterThanOrEqual">
      <formula>1475</formula>
    </cfRule>
    <cfRule type="cellIs" dxfId="2559" priority="3568" operator="greaterThanOrEqual">
      <formula>1450</formula>
    </cfRule>
    <cfRule type="cellIs" dxfId="2558" priority="3569" operator="greaterThanOrEqual">
      <formula>1400</formula>
    </cfRule>
  </conditionalFormatting>
  <conditionalFormatting sqref="K145">
    <cfRule type="cellIs" dxfId="2557" priority="3561" operator="greaterThan">
      <formula>10000</formula>
    </cfRule>
    <cfRule type="cellIs" dxfId="2556" priority="3562" operator="greaterThanOrEqual">
      <formula>1500</formula>
    </cfRule>
    <cfRule type="cellIs" dxfId="2555" priority="3563" operator="greaterThanOrEqual">
      <formula>1450</formula>
    </cfRule>
    <cfRule type="cellIs" dxfId="2554" priority="3564" operator="greaterThan">
      <formula>1400</formula>
    </cfRule>
  </conditionalFormatting>
  <conditionalFormatting sqref="K145">
    <cfRule type="cellIs" dxfId="2553" priority="3556" operator="greaterThan">
      <formula>10000</formula>
    </cfRule>
    <cfRule type="cellIs" dxfId="2552" priority="3557" operator="greaterThanOrEqual">
      <formula>1500</formula>
    </cfRule>
    <cfRule type="cellIs" dxfId="2551" priority="3558" operator="greaterThanOrEqual">
      <formula>1475</formula>
    </cfRule>
    <cfRule type="cellIs" dxfId="2550" priority="3559" operator="greaterThanOrEqual">
      <formula>1450</formula>
    </cfRule>
    <cfRule type="cellIs" dxfId="2549" priority="3560" operator="greaterThanOrEqual">
      <formula>1400</formula>
    </cfRule>
  </conditionalFormatting>
  <conditionalFormatting sqref="K145">
    <cfRule type="cellIs" dxfId="2548" priority="3552" operator="greaterThan">
      <formula>10000</formula>
    </cfRule>
    <cfRule type="cellIs" dxfId="2547" priority="3553" operator="greaterThanOrEqual">
      <formula>1500</formula>
    </cfRule>
    <cfRule type="cellIs" dxfId="2546" priority="3554" operator="greaterThanOrEqual">
      <formula>1450</formula>
    </cfRule>
    <cfRule type="cellIs" dxfId="2545" priority="3555" operator="greaterThan">
      <formula>1400</formula>
    </cfRule>
  </conditionalFormatting>
  <conditionalFormatting sqref="K145">
    <cfRule type="cellIs" dxfId="2544" priority="3547" operator="greaterThan">
      <formula>10000</formula>
    </cfRule>
    <cfRule type="cellIs" dxfId="2543" priority="3548" operator="greaterThanOrEqual">
      <formula>1500</formula>
    </cfRule>
    <cfRule type="cellIs" dxfId="2542" priority="3549" operator="greaterThanOrEqual">
      <formula>1475</formula>
    </cfRule>
    <cfRule type="cellIs" dxfId="2541" priority="3550" operator="greaterThanOrEqual">
      <formula>1450</formula>
    </cfRule>
    <cfRule type="cellIs" dxfId="2540" priority="3551" operator="greaterThanOrEqual">
      <formula>1400</formula>
    </cfRule>
  </conditionalFormatting>
  <conditionalFormatting sqref="K145">
    <cfRule type="cellIs" dxfId="2539" priority="3543" operator="greaterThan">
      <formula>10000</formula>
    </cfRule>
    <cfRule type="cellIs" dxfId="2538" priority="3544" operator="greaterThanOrEqual">
      <formula>1500</formula>
    </cfRule>
    <cfRule type="cellIs" dxfId="2537" priority="3545" operator="greaterThanOrEqual">
      <formula>1450</formula>
    </cfRule>
    <cfRule type="cellIs" dxfId="2536" priority="3546" operator="greaterThan">
      <formula>1400</formula>
    </cfRule>
  </conditionalFormatting>
  <conditionalFormatting sqref="K145">
    <cfRule type="cellIs" dxfId="2535" priority="3538" operator="greaterThan">
      <formula>10000</formula>
    </cfRule>
    <cfRule type="cellIs" dxfId="2534" priority="3539" operator="greaterThanOrEqual">
      <formula>1500</formula>
    </cfRule>
    <cfRule type="cellIs" dxfId="2533" priority="3540" operator="greaterThanOrEqual">
      <formula>1475</formula>
    </cfRule>
    <cfRule type="cellIs" dxfId="2532" priority="3541" operator="greaterThanOrEqual">
      <formula>1450</formula>
    </cfRule>
    <cfRule type="cellIs" dxfId="2531" priority="3542" operator="greaterThanOrEqual">
      <formula>1400</formula>
    </cfRule>
  </conditionalFormatting>
  <conditionalFormatting sqref="K145">
    <cfRule type="cellIs" dxfId="2530" priority="3534" operator="greaterThan">
      <formula>10000</formula>
    </cfRule>
    <cfRule type="cellIs" dxfId="2529" priority="3535" operator="greaterThanOrEqual">
      <formula>1500</formula>
    </cfRule>
    <cfRule type="cellIs" dxfId="2528" priority="3536" operator="greaterThanOrEqual">
      <formula>1450</formula>
    </cfRule>
    <cfRule type="cellIs" dxfId="2527" priority="3537" operator="greaterThan">
      <formula>1400</formula>
    </cfRule>
  </conditionalFormatting>
  <conditionalFormatting sqref="K145">
    <cfRule type="cellIs" dxfId="2526" priority="3529" operator="greaterThan">
      <formula>10000</formula>
    </cfRule>
    <cfRule type="cellIs" dxfId="2525" priority="3530" operator="greaterThanOrEqual">
      <formula>1500</formula>
    </cfRule>
    <cfRule type="cellIs" dxfId="2524" priority="3531" operator="greaterThanOrEqual">
      <formula>1475</formula>
    </cfRule>
    <cfRule type="cellIs" dxfId="2523" priority="3532" operator="greaterThanOrEqual">
      <formula>1450</formula>
    </cfRule>
    <cfRule type="cellIs" dxfId="2522" priority="3533" operator="greaterThanOrEqual">
      <formula>1400</formula>
    </cfRule>
  </conditionalFormatting>
  <conditionalFormatting sqref="K171">
    <cfRule type="cellIs" dxfId="2521" priority="3432" operator="greaterThan">
      <formula>10000</formula>
    </cfRule>
    <cfRule type="cellIs" dxfId="2520" priority="3433" operator="greaterThanOrEqual">
      <formula>1500</formula>
    </cfRule>
    <cfRule type="cellIs" dxfId="2519" priority="3434" operator="greaterThanOrEqual">
      <formula>1450</formula>
    </cfRule>
    <cfRule type="cellIs" dxfId="2518" priority="3435" operator="greaterThan">
      <formula>1400</formula>
    </cfRule>
  </conditionalFormatting>
  <conditionalFormatting sqref="K171">
    <cfRule type="cellIs" dxfId="2517" priority="3427" operator="greaterThan">
      <formula>10000</formula>
    </cfRule>
    <cfRule type="cellIs" dxfId="2516" priority="3428" operator="greaterThanOrEqual">
      <formula>1500</formula>
    </cfRule>
    <cfRule type="cellIs" dxfId="2515" priority="3429" operator="greaterThanOrEqual">
      <formula>1475</formula>
    </cfRule>
    <cfRule type="cellIs" dxfId="2514" priority="3430" operator="greaterThanOrEqual">
      <formula>1450</formula>
    </cfRule>
    <cfRule type="cellIs" dxfId="2513" priority="3431" operator="greaterThanOrEqual">
      <formula>1400</formula>
    </cfRule>
  </conditionalFormatting>
  <conditionalFormatting sqref="K171">
    <cfRule type="cellIs" dxfId="2512" priority="3423" operator="greaterThan">
      <formula>10000</formula>
    </cfRule>
    <cfRule type="cellIs" dxfId="2511" priority="3424" operator="greaterThanOrEqual">
      <formula>1500</formula>
    </cfRule>
    <cfRule type="cellIs" dxfId="2510" priority="3425" operator="greaterThanOrEqual">
      <formula>1450</formula>
    </cfRule>
    <cfRule type="cellIs" dxfId="2509" priority="3426" operator="greaterThan">
      <formula>1400</formula>
    </cfRule>
  </conditionalFormatting>
  <conditionalFormatting sqref="K171">
    <cfRule type="cellIs" dxfId="2508" priority="3418" operator="greaterThan">
      <formula>10000</formula>
    </cfRule>
    <cfRule type="cellIs" dxfId="2507" priority="3419" operator="greaterThanOrEqual">
      <formula>1500</formula>
    </cfRule>
    <cfRule type="cellIs" dxfId="2506" priority="3420" operator="greaterThanOrEqual">
      <formula>1475</formula>
    </cfRule>
    <cfRule type="cellIs" dxfId="2505" priority="3421" operator="greaterThanOrEqual">
      <formula>1450</formula>
    </cfRule>
    <cfRule type="cellIs" dxfId="2504" priority="3422" operator="greaterThanOrEqual">
      <formula>1400</formula>
    </cfRule>
  </conditionalFormatting>
  <conditionalFormatting sqref="F171">
    <cfRule type="top10" priority="3399" bottom="1" rank="3"/>
  </conditionalFormatting>
  <conditionalFormatting sqref="F168">
    <cfRule type="top10" priority="3214" bottom="1" rank="3"/>
  </conditionalFormatting>
  <conditionalFormatting sqref="F173">
    <cfRule type="top10" priority="3213" bottom="1" rank="3"/>
  </conditionalFormatting>
  <conditionalFormatting sqref="K172">
    <cfRule type="cellIs" dxfId="2503" priority="3152" operator="greaterThan">
      <formula>10000</formula>
    </cfRule>
    <cfRule type="cellIs" dxfId="2502" priority="3153" operator="greaterThanOrEqual">
      <formula>1500</formula>
    </cfRule>
    <cfRule type="cellIs" dxfId="2501" priority="3154" operator="greaterThanOrEqual">
      <formula>1450</formula>
    </cfRule>
    <cfRule type="cellIs" dxfId="2500" priority="3155" operator="greaterThan">
      <formula>1400</formula>
    </cfRule>
  </conditionalFormatting>
  <conditionalFormatting sqref="K172">
    <cfRule type="cellIs" dxfId="2499" priority="3147" operator="greaterThan">
      <formula>10000</formula>
    </cfRule>
    <cfRule type="cellIs" dxfId="2498" priority="3148" operator="greaterThanOrEqual">
      <formula>1500</formula>
    </cfRule>
    <cfRule type="cellIs" dxfId="2497" priority="3149" operator="greaterThanOrEqual">
      <formula>1475</formula>
    </cfRule>
    <cfRule type="cellIs" dxfId="2496" priority="3150" operator="greaterThanOrEqual">
      <formula>1450</formula>
    </cfRule>
    <cfRule type="cellIs" dxfId="2495" priority="3151" operator="greaterThanOrEqual">
      <formula>1400</formula>
    </cfRule>
  </conditionalFormatting>
  <conditionalFormatting sqref="K172">
    <cfRule type="cellIs" dxfId="2494" priority="3143" operator="greaterThan">
      <formula>10000</formula>
    </cfRule>
    <cfRule type="cellIs" dxfId="2493" priority="3144" operator="greaterThanOrEqual">
      <formula>1500</formula>
    </cfRule>
    <cfRule type="cellIs" dxfId="2492" priority="3145" operator="greaterThanOrEqual">
      <formula>1450</formula>
    </cfRule>
    <cfRule type="cellIs" dxfId="2491" priority="3146" operator="greaterThan">
      <formula>1400</formula>
    </cfRule>
  </conditionalFormatting>
  <conditionalFormatting sqref="K172">
    <cfRule type="cellIs" dxfId="2490" priority="3138" operator="greaterThan">
      <formula>10000</formula>
    </cfRule>
    <cfRule type="cellIs" dxfId="2489" priority="3139" operator="greaterThanOrEqual">
      <formula>1500</formula>
    </cfRule>
    <cfRule type="cellIs" dxfId="2488" priority="3140" operator="greaterThanOrEqual">
      <formula>1475</formula>
    </cfRule>
    <cfRule type="cellIs" dxfId="2487" priority="3141" operator="greaterThanOrEqual">
      <formula>1450</formula>
    </cfRule>
    <cfRule type="cellIs" dxfId="2486" priority="3142" operator="greaterThanOrEqual">
      <formula>1400</formula>
    </cfRule>
  </conditionalFormatting>
  <conditionalFormatting sqref="F172">
    <cfRule type="top10" priority="3119" bottom="1" rank="3"/>
  </conditionalFormatting>
  <conditionalFormatting sqref="K216">
    <cfRule type="cellIs" dxfId="2485" priority="3065" operator="greaterThan">
      <formula>10000</formula>
    </cfRule>
    <cfRule type="cellIs" dxfId="2484" priority="3066" operator="greaterThanOrEqual">
      <formula>1500</formula>
    </cfRule>
    <cfRule type="cellIs" dxfId="2483" priority="3067" operator="greaterThanOrEqual">
      <formula>1450</formula>
    </cfRule>
    <cfRule type="cellIs" dxfId="2482" priority="3068" operator="greaterThan">
      <formula>1400</formula>
    </cfRule>
  </conditionalFormatting>
  <conditionalFormatting sqref="K216">
    <cfRule type="cellIs" dxfId="2481" priority="3060" operator="greaterThan">
      <formula>10000</formula>
    </cfRule>
    <cfRule type="cellIs" dxfId="2480" priority="3061" operator="greaterThanOrEqual">
      <formula>1500</formula>
    </cfRule>
    <cfRule type="cellIs" dxfId="2479" priority="3062" operator="greaterThanOrEqual">
      <formula>1475</formula>
    </cfRule>
    <cfRule type="cellIs" dxfId="2478" priority="3063" operator="greaterThanOrEqual">
      <formula>1450</formula>
    </cfRule>
    <cfRule type="cellIs" dxfId="2477" priority="3064" operator="greaterThanOrEqual">
      <formula>1400</formula>
    </cfRule>
  </conditionalFormatting>
  <conditionalFormatting sqref="K159">
    <cfRule type="cellIs" dxfId="2476" priority="3032" operator="greaterThan">
      <formula>10000</formula>
    </cfRule>
    <cfRule type="cellIs" dxfId="2475" priority="3033" operator="greaterThanOrEqual">
      <formula>1500</formula>
    </cfRule>
    <cfRule type="cellIs" dxfId="2474" priority="3034" operator="greaterThanOrEqual">
      <formula>1450</formula>
    </cfRule>
    <cfRule type="cellIs" dxfId="2473" priority="3035" operator="greaterThan">
      <formula>1400</formula>
    </cfRule>
  </conditionalFormatting>
  <conditionalFormatting sqref="K159">
    <cfRule type="cellIs" dxfId="2472" priority="3027" operator="greaterThan">
      <formula>10000</formula>
    </cfRule>
    <cfRule type="cellIs" dxfId="2471" priority="3028" operator="greaterThanOrEqual">
      <formula>1500</formula>
    </cfRule>
    <cfRule type="cellIs" dxfId="2470" priority="3029" operator="greaterThanOrEqual">
      <formula>1475</formula>
    </cfRule>
    <cfRule type="cellIs" dxfId="2469" priority="3030" operator="greaterThanOrEqual">
      <formula>1450</formula>
    </cfRule>
    <cfRule type="cellIs" dxfId="2468" priority="3031" operator="greaterThanOrEqual">
      <formula>1400</formula>
    </cfRule>
  </conditionalFormatting>
  <conditionalFormatting sqref="K159">
    <cfRule type="cellIs" dxfId="2467" priority="3023" operator="greaterThan">
      <formula>10000</formula>
    </cfRule>
    <cfRule type="cellIs" dxfId="2466" priority="3024" operator="greaterThanOrEqual">
      <formula>1500</formula>
    </cfRule>
    <cfRule type="cellIs" dxfId="2465" priority="3025" operator="greaterThanOrEqual">
      <formula>1450</formula>
    </cfRule>
    <cfRule type="cellIs" dxfId="2464" priority="3026" operator="greaterThan">
      <formula>1400</formula>
    </cfRule>
  </conditionalFormatting>
  <conditionalFormatting sqref="K159">
    <cfRule type="cellIs" dxfId="2463" priority="3018" operator="greaterThan">
      <formula>10000</formula>
    </cfRule>
    <cfRule type="cellIs" dxfId="2462" priority="3019" operator="greaterThanOrEqual">
      <formula>1500</formula>
    </cfRule>
    <cfRule type="cellIs" dxfId="2461" priority="3020" operator="greaterThanOrEqual">
      <formula>1475</formula>
    </cfRule>
    <cfRule type="cellIs" dxfId="2460" priority="3021" operator="greaterThanOrEqual">
      <formula>1450</formula>
    </cfRule>
    <cfRule type="cellIs" dxfId="2459" priority="3022" operator="greaterThanOrEqual">
      <formula>1400</formula>
    </cfRule>
  </conditionalFormatting>
  <conditionalFormatting sqref="K159">
    <cfRule type="cellIs" dxfId="2458" priority="2996" operator="greaterThan">
      <formula>10000</formula>
    </cfRule>
    <cfRule type="cellIs" dxfId="2457" priority="2997" operator="greaterThanOrEqual">
      <formula>1500</formula>
    </cfRule>
    <cfRule type="cellIs" dxfId="2456" priority="2998" operator="greaterThanOrEqual">
      <formula>1450</formula>
    </cfRule>
    <cfRule type="cellIs" dxfId="2455" priority="2999" operator="greaterThan">
      <formula>1400</formula>
    </cfRule>
  </conditionalFormatting>
  <conditionalFormatting sqref="K159">
    <cfRule type="cellIs" dxfId="2454" priority="2991" operator="greaterThan">
      <formula>10000</formula>
    </cfRule>
    <cfRule type="cellIs" dxfId="2453" priority="2992" operator="greaterThanOrEqual">
      <formula>1500</formula>
    </cfRule>
    <cfRule type="cellIs" dxfId="2452" priority="2993" operator="greaterThanOrEqual">
      <formula>1475</formula>
    </cfRule>
    <cfRule type="cellIs" dxfId="2451" priority="2994" operator="greaterThanOrEqual">
      <formula>1450</formula>
    </cfRule>
    <cfRule type="cellIs" dxfId="2450" priority="2995" operator="greaterThanOrEqual">
      <formula>1400</formula>
    </cfRule>
  </conditionalFormatting>
  <conditionalFormatting sqref="K159">
    <cfRule type="cellIs" dxfId="2449" priority="2987" operator="greaterThan">
      <formula>10000</formula>
    </cfRule>
    <cfRule type="cellIs" dxfId="2448" priority="2988" operator="greaterThanOrEqual">
      <formula>1500</formula>
    </cfRule>
    <cfRule type="cellIs" dxfId="2447" priority="2989" operator="greaterThanOrEqual">
      <formula>1450</formula>
    </cfRule>
    <cfRule type="cellIs" dxfId="2446" priority="2990" operator="greaterThan">
      <formula>1400</formula>
    </cfRule>
  </conditionalFormatting>
  <conditionalFormatting sqref="K159">
    <cfRule type="cellIs" dxfId="2445" priority="2982" operator="greaterThan">
      <formula>10000</formula>
    </cfRule>
    <cfRule type="cellIs" dxfId="2444" priority="2983" operator="greaterThanOrEqual">
      <formula>1500</formula>
    </cfRule>
    <cfRule type="cellIs" dxfId="2443" priority="2984" operator="greaterThanOrEqual">
      <formula>1475</formula>
    </cfRule>
    <cfRule type="cellIs" dxfId="2442" priority="2985" operator="greaterThanOrEqual">
      <formula>1450</formula>
    </cfRule>
    <cfRule type="cellIs" dxfId="2441" priority="2986" operator="greaterThanOrEqual">
      <formula>1400</formula>
    </cfRule>
  </conditionalFormatting>
  <conditionalFormatting sqref="K159">
    <cfRule type="cellIs" dxfId="2440" priority="2960" operator="greaterThan">
      <formula>10000</formula>
    </cfRule>
    <cfRule type="cellIs" dxfId="2439" priority="2961" operator="greaterThanOrEqual">
      <formula>1500</formula>
    </cfRule>
    <cfRule type="cellIs" dxfId="2438" priority="2962" operator="greaterThanOrEqual">
      <formula>1450</formula>
    </cfRule>
    <cfRule type="cellIs" dxfId="2437" priority="2963" operator="greaterThan">
      <formula>1400</formula>
    </cfRule>
  </conditionalFormatting>
  <conditionalFormatting sqref="K159">
    <cfRule type="cellIs" dxfId="2436" priority="2955" operator="greaterThan">
      <formula>10000</formula>
    </cfRule>
    <cfRule type="cellIs" dxfId="2435" priority="2956" operator="greaterThanOrEqual">
      <formula>1500</formula>
    </cfRule>
    <cfRule type="cellIs" dxfId="2434" priority="2957" operator="greaterThanOrEqual">
      <formula>1475</formula>
    </cfRule>
    <cfRule type="cellIs" dxfId="2433" priority="2958" operator="greaterThanOrEqual">
      <formula>1450</formula>
    </cfRule>
    <cfRule type="cellIs" dxfId="2432" priority="2959" operator="greaterThanOrEqual">
      <formula>1400</formula>
    </cfRule>
  </conditionalFormatting>
  <conditionalFormatting sqref="K159">
    <cfRule type="cellIs" dxfId="2431" priority="2951" operator="greaterThan">
      <formula>10000</formula>
    </cfRule>
    <cfRule type="cellIs" dxfId="2430" priority="2952" operator="greaterThanOrEqual">
      <formula>1500</formula>
    </cfRule>
    <cfRule type="cellIs" dxfId="2429" priority="2953" operator="greaterThanOrEqual">
      <formula>1450</formula>
    </cfRule>
    <cfRule type="cellIs" dxfId="2428" priority="2954" operator="greaterThan">
      <formula>1400</formula>
    </cfRule>
  </conditionalFormatting>
  <conditionalFormatting sqref="K159">
    <cfRule type="cellIs" dxfId="2427" priority="2946" operator="greaterThan">
      <formula>10000</formula>
    </cfRule>
    <cfRule type="cellIs" dxfId="2426" priority="2947" operator="greaterThanOrEqual">
      <formula>1500</formula>
    </cfRule>
    <cfRule type="cellIs" dxfId="2425" priority="2948" operator="greaterThanOrEqual">
      <formula>1475</formula>
    </cfRule>
    <cfRule type="cellIs" dxfId="2424" priority="2949" operator="greaterThanOrEqual">
      <formula>1450</formula>
    </cfRule>
    <cfRule type="cellIs" dxfId="2423" priority="2950" operator="greaterThanOrEqual">
      <formula>1400</formula>
    </cfRule>
  </conditionalFormatting>
  <conditionalFormatting sqref="K185:K187 K189:K191">
    <cfRule type="cellIs" dxfId="2422" priority="2912" operator="greaterThan">
      <formula>10000</formula>
    </cfRule>
    <cfRule type="cellIs" dxfId="2421" priority="2913" operator="greaterThanOrEqual">
      <formula>1500</formula>
    </cfRule>
    <cfRule type="cellIs" dxfId="2420" priority="2914" operator="greaterThanOrEqual">
      <formula>1450</formula>
    </cfRule>
    <cfRule type="cellIs" dxfId="2419" priority="2915" operator="greaterThan">
      <formula>1400</formula>
    </cfRule>
  </conditionalFormatting>
  <conditionalFormatting sqref="K185:K187 K189:K191">
    <cfRule type="cellIs" dxfId="2418" priority="2907" operator="greaterThan">
      <formula>10000</formula>
    </cfRule>
    <cfRule type="cellIs" dxfId="2417" priority="2908" operator="greaterThanOrEqual">
      <formula>1500</formula>
    </cfRule>
    <cfRule type="cellIs" dxfId="2416" priority="2909" operator="greaterThanOrEqual">
      <formula>1475</formula>
    </cfRule>
    <cfRule type="cellIs" dxfId="2415" priority="2910" operator="greaterThanOrEqual">
      <formula>1450</formula>
    </cfRule>
    <cfRule type="cellIs" dxfId="2414" priority="2911" operator="greaterThanOrEqual">
      <formula>1400</formula>
    </cfRule>
  </conditionalFormatting>
  <conditionalFormatting sqref="K185:K187 K189:K191">
    <cfRule type="cellIs" dxfId="2413" priority="2903" operator="greaterThan">
      <formula>10000</formula>
    </cfRule>
    <cfRule type="cellIs" dxfId="2412" priority="2904" operator="greaterThanOrEqual">
      <formula>1500</formula>
    </cfRule>
    <cfRule type="cellIs" dxfId="2411" priority="2905" operator="greaterThanOrEqual">
      <formula>1450</formula>
    </cfRule>
    <cfRule type="cellIs" dxfId="2410" priority="2906" operator="greaterThan">
      <formula>1400</formula>
    </cfRule>
  </conditionalFormatting>
  <conditionalFormatting sqref="K185:K187 K189:K191">
    <cfRule type="cellIs" dxfId="2409" priority="2898" operator="greaterThan">
      <formula>10000</formula>
    </cfRule>
    <cfRule type="cellIs" dxfId="2408" priority="2899" operator="greaterThanOrEqual">
      <formula>1500</formula>
    </cfRule>
    <cfRule type="cellIs" dxfId="2407" priority="2900" operator="greaterThanOrEqual">
      <formula>1475</formula>
    </cfRule>
    <cfRule type="cellIs" dxfId="2406" priority="2901" operator="greaterThanOrEqual">
      <formula>1450</formula>
    </cfRule>
    <cfRule type="cellIs" dxfId="2405" priority="2902" operator="greaterThanOrEqual">
      <formula>1400</formula>
    </cfRule>
  </conditionalFormatting>
  <conditionalFormatting sqref="K198">
    <cfRule type="cellIs" dxfId="2404" priority="2876" operator="greaterThan">
      <formula>10000</formula>
    </cfRule>
    <cfRule type="cellIs" dxfId="2403" priority="2877" operator="greaterThanOrEqual">
      <formula>1500</formula>
    </cfRule>
    <cfRule type="cellIs" dxfId="2402" priority="2878" operator="greaterThanOrEqual">
      <formula>1450</formula>
    </cfRule>
    <cfRule type="cellIs" dxfId="2401" priority="2879" operator="greaterThan">
      <formula>1400</formula>
    </cfRule>
  </conditionalFormatting>
  <conditionalFormatting sqref="K198">
    <cfRule type="cellIs" dxfId="2400" priority="2871" operator="greaterThan">
      <formula>10000</formula>
    </cfRule>
    <cfRule type="cellIs" dxfId="2399" priority="2872" operator="greaterThanOrEqual">
      <formula>1500</formula>
    </cfRule>
    <cfRule type="cellIs" dxfId="2398" priority="2873" operator="greaterThanOrEqual">
      <formula>1475</formula>
    </cfRule>
    <cfRule type="cellIs" dxfId="2397" priority="2874" operator="greaterThanOrEqual">
      <formula>1450</formula>
    </cfRule>
    <cfRule type="cellIs" dxfId="2396" priority="2875" operator="greaterThanOrEqual">
      <formula>1400</formula>
    </cfRule>
  </conditionalFormatting>
  <conditionalFormatting sqref="K198">
    <cfRule type="cellIs" dxfId="2395" priority="2867" operator="greaterThan">
      <formula>10000</formula>
    </cfRule>
    <cfRule type="cellIs" dxfId="2394" priority="2868" operator="greaterThanOrEqual">
      <formula>1500</formula>
    </cfRule>
    <cfRule type="cellIs" dxfId="2393" priority="2869" operator="greaterThanOrEqual">
      <formula>1450</formula>
    </cfRule>
    <cfRule type="cellIs" dxfId="2392" priority="2870" operator="greaterThan">
      <formula>1400</formula>
    </cfRule>
  </conditionalFormatting>
  <conditionalFormatting sqref="K198">
    <cfRule type="cellIs" dxfId="2391" priority="2862" operator="greaterThan">
      <formula>10000</formula>
    </cfRule>
    <cfRule type="cellIs" dxfId="2390" priority="2863" operator="greaterThanOrEqual">
      <formula>1500</formula>
    </cfRule>
    <cfRule type="cellIs" dxfId="2389" priority="2864" operator="greaterThanOrEqual">
      <formula>1475</formula>
    </cfRule>
    <cfRule type="cellIs" dxfId="2388" priority="2865" operator="greaterThanOrEqual">
      <formula>1450</formula>
    </cfRule>
    <cfRule type="cellIs" dxfId="2387" priority="2866" operator="greaterThanOrEqual">
      <formula>1400</formula>
    </cfRule>
  </conditionalFormatting>
  <conditionalFormatting sqref="K188">
    <cfRule type="cellIs" dxfId="2386" priority="2840" operator="greaterThan">
      <formula>10000</formula>
    </cfRule>
    <cfRule type="cellIs" dxfId="2385" priority="2841" operator="greaterThanOrEqual">
      <formula>1500</formula>
    </cfRule>
    <cfRule type="cellIs" dxfId="2384" priority="2842" operator="greaterThanOrEqual">
      <formula>1450</formula>
    </cfRule>
    <cfRule type="cellIs" dxfId="2383" priority="2843" operator="greaterThan">
      <formula>1400</formula>
    </cfRule>
  </conditionalFormatting>
  <conditionalFormatting sqref="K188">
    <cfRule type="cellIs" dxfId="2382" priority="2835" operator="greaterThan">
      <formula>10000</formula>
    </cfRule>
    <cfRule type="cellIs" dxfId="2381" priority="2836" operator="greaterThanOrEqual">
      <formula>1500</formula>
    </cfRule>
    <cfRule type="cellIs" dxfId="2380" priority="2837" operator="greaterThanOrEqual">
      <formula>1475</formula>
    </cfRule>
    <cfRule type="cellIs" dxfId="2379" priority="2838" operator="greaterThanOrEqual">
      <formula>1450</formula>
    </cfRule>
    <cfRule type="cellIs" dxfId="2378" priority="2839" operator="greaterThanOrEqual">
      <formula>1400</formula>
    </cfRule>
  </conditionalFormatting>
  <conditionalFormatting sqref="K188">
    <cfRule type="cellIs" dxfId="2377" priority="2831" operator="greaterThan">
      <formula>10000</formula>
    </cfRule>
    <cfRule type="cellIs" dxfId="2376" priority="2832" operator="greaterThanOrEqual">
      <formula>1500</formula>
    </cfRule>
    <cfRule type="cellIs" dxfId="2375" priority="2833" operator="greaterThanOrEqual">
      <formula>1450</formula>
    </cfRule>
    <cfRule type="cellIs" dxfId="2374" priority="2834" operator="greaterThan">
      <formula>1400</formula>
    </cfRule>
  </conditionalFormatting>
  <conditionalFormatting sqref="K188">
    <cfRule type="cellIs" dxfId="2373" priority="2826" operator="greaterThan">
      <formula>10000</formula>
    </cfRule>
    <cfRule type="cellIs" dxfId="2372" priority="2827" operator="greaterThanOrEqual">
      <formula>1500</formula>
    </cfRule>
    <cfRule type="cellIs" dxfId="2371" priority="2828" operator="greaterThanOrEqual">
      <formula>1475</formula>
    </cfRule>
    <cfRule type="cellIs" dxfId="2370" priority="2829" operator="greaterThanOrEqual">
      <formula>1450</formula>
    </cfRule>
    <cfRule type="cellIs" dxfId="2369" priority="2830" operator="greaterThanOrEqual">
      <formula>1400</formula>
    </cfRule>
  </conditionalFormatting>
  <conditionalFormatting sqref="K192">
    <cfRule type="cellIs" dxfId="2368" priority="2790" operator="greaterThan">
      <formula>10000</formula>
    </cfRule>
    <cfRule type="cellIs" dxfId="2367" priority="2791" operator="greaterThanOrEqual">
      <formula>1500</formula>
    </cfRule>
    <cfRule type="cellIs" dxfId="2366" priority="2792" operator="greaterThanOrEqual">
      <formula>1450</formula>
    </cfRule>
    <cfRule type="cellIs" dxfId="2365" priority="2793" operator="greaterThan">
      <formula>1400</formula>
    </cfRule>
  </conditionalFormatting>
  <conditionalFormatting sqref="K192">
    <cfRule type="cellIs" dxfId="2364" priority="2785" operator="greaterThan">
      <formula>10000</formula>
    </cfRule>
    <cfRule type="cellIs" dxfId="2363" priority="2786" operator="greaterThanOrEqual">
      <formula>1500</formula>
    </cfRule>
    <cfRule type="cellIs" dxfId="2362" priority="2787" operator="greaterThanOrEqual">
      <formula>1475</formula>
    </cfRule>
    <cfRule type="cellIs" dxfId="2361" priority="2788" operator="greaterThanOrEqual">
      <formula>1450</formula>
    </cfRule>
    <cfRule type="cellIs" dxfId="2360" priority="2789" operator="greaterThanOrEqual">
      <formula>1400</formula>
    </cfRule>
  </conditionalFormatting>
  <conditionalFormatting sqref="K192">
    <cfRule type="cellIs" dxfId="2359" priority="2781" operator="greaterThan">
      <formula>10000</formula>
    </cfRule>
    <cfRule type="cellIs" dxfId="2358" priority="2782" operator="greaterThanOrEqual">
      <formula>1500</formula>
    </cfRule>
    <cfRule type="cellIs" dxfId="2357" priority="2783" operator="greaterThanOrEqual">
      <formula>1450</formula>
    </cfRule>
    <cfRule type="cellIs" dxfId="2356" priority="2784" operator="greaterThan">
      <formula>1400</formula>
    </cfRule>
  </conditionalFormatting>
  <conditionalFormatting sqref="K192">
    <cfRule type="cellIs" dxfId="2355" priority="2776" operator="greaterThan">
      <formula>10000</formula>
    </cfRule>
    <cfRule type="cellIs" dxfId="2354" priority="2777" operator="greaterThanOrEqual">
      <formula>1500</formula>
    </cfRule>
    <cfRule type="cellIs" dxfId="2353" priority="2778" operator="greaterThanOrEqual">
      <formula>1475</formula>
    </cfRule>
    <cfRule type="cellIs" dxfId="2352" priority="2779" operator="greaterThanOrEqual">
      <formula>1450</formula>
    </cfRule>
    <cfRule type="cellIs" dxfId="2351" priority="2780" operator="greaterThanOrEqual">
      <formula>1400</formula>
    </cfRule>
  </conditionalFormatting>
  <conditionalFormatting sqref="K217">
    <cfRule type="cellIs" dxfId="2350" priority="2770" operator="greaterThan">
      <formula>10000</formula>
    </cfRule>
    <cfRule type="cellIs" dxfId="2349" priority="2771" operator="greaterThanOrEqual">
      <formula>1500</formula>
    </cfRule>
    <cfRule type="cellIs" dxfId="2348" priority="2772" operator="greaterThanOrEqual">
      <formula>1450</formula>
    </cfRule>
    <cfRule type="cellIs" dxfId="2347" priority="2773" operator="greaterThan">
      <formula>1400</formula>
    </cfRule>
  </conditionalFormatting>
  <conditionalFormatting sqref="K217">
    <cfRule type="cellIs" dxfId="2346" priority="2765" operator="greaterThan">
      <formula>10000</formula>
    </cfRule>
    <cfRule type="cellIs" dxfId="2345" priority="2766" operator="greaterThanOrEqual">
      <formula>1500</formula>
    </cfRule>
    <cfRule type="cellIs" dxfId="2344" priority="2767" operator="greaterThanOrEqual">
      <formula>1475</formula>
    </cfRule>
    <cfRule type="cellIs" dxfId="2343" priority="2768" operator="greaterThanOrEqual">
      <formula>1450</formula>
    </cfRule>
    <cfRule type="cellIs" dxfId="2342" priority="2769" operator="greaterThanOrEqual">
      <formula>1400</formula>
    </cfRule>
  </conditionalFormatting>
  <conditionalFormatting sqref="K193">
    <cfRule type="cellIs" dxfId="2341" priority="2719" operator="greaterThan">
      <formula>10000</formula>
    </cfRule>
    <cfRule type="cellIs" dxfId="2340" priority="2720" operator="greaterThanOrEqual">
      <formula>1500</formula>
    </cfRule>
    <cfRule type="cellIs" dxfId="2339" priority="2721" operator="greaterThanOrEqual">
      <formula>1450</formula>
    </cfRule>
    <cfRule type="cellIs" dxfId="2338" priority="2722" operator="greaterThan">
      <formula>1400</formula>
    </cfRule>
  </conditionalFormatting>
  <conditionalFormatting sqref="K193">
    <cfRule type="cellIs" dxfId="2337" priority="2714" operator="greaterThan">
      <formula>10000</formula>
    </cfRule>
    <cfRule type="cellIs" dxfId="2336" priority="2715" operator="greaterThanOrEqual">
      <formula>1500</formula>
    </cfRule>
    <cfRule type="cellIs" dxfId="2335" priority="2716" operator="greaterThanOrEqual">
      <formula>1475</formula>
    </cfRule>
    <cfRule type="cellIs" dxfId="2334" priority="2717" operator="greaterThanOrEqual">
      <formula>1450</formula>
    </cfRule>
    <cfRule type="cellIs" dxfId="2333" priority="2718" operator="greaterThanOrEqual">
      <formula>1400</formula>
    </cfRule>
  </conditionalFormatting>
  <conditionalFormatting sqref="K193">
    <cfRule type="cellIs" dxfId="2332" priority="2710" operator="greaterThan">
      <formula>10000</formula>
    </cfRule>
    <cfRule type="cellIs" dxfId="2331" priority="2711" operator="greaterThanOrEqual">
      <formula>1500</formula>
    </cfRule>
    <cfRule type="cellIs" dxfId="2330" priority="2712" operator="greaterThanOrEqual">
      <formula>1450</formula>
    </cfRule>
    <cfRule type="cellIs" dxfId="2329" priority="2713" operator="greaterThan">
      <formula>1400</formula>
    </cfRule>
  </conditionalFormatting>
  <conditionalFormatting sqref="K193">
    <cfRule type="cellIs" dxfId="2328" priority="2705" operator="greaterThan">
      <formula>10000</formula>
    </cfRule>
    <cfRule type="cellIs" dxfId="2327" priority="2706" operator="greaterThanOrEqual">
      <formula>1500</formula>
    </cfRule>
    <cfRule type="cellIs" dxfId="2326" priority="2707" operator="greaterThanOrEqual">
      <formula>1475</formula>
    </cfRule>
    <cfRule type="cellIs" dxfId="2325" priority="2708" operator="greaterThanOrEqual">
      <formula>1450</formula>
    </cfRule>
    <cfRule type="cellIs" dxfId="2324" priority="2709" operator="greaterThanOrEqual">
      <formula>1400</formula>
    </cfRule>
  </conditionalFormatting>
  <conditionalFormatting sqref="H198:J198 H199:I199 H224:J225 H219:I220 H1:J2 H51:J166 H48:H50 H46:J47 H45 H40:J44 H39 H38:J38 H34:H37 H27:J33 H25:H26 H23:J24 H16:H22 H15:J15 H14 H13:J13 H11:H12 H10:J10 H8:H9 H4:J7 H3 H221 H223 H234:J235 H230 H185:J196 H169:J175 H167:H168 H244:J1048576 H207:J218 H176:H184 H236:H237 H233 H239:H240 H242:H243">
    <cfRule type="cellIs" dxfId="2323" priority="2596" operator="greaterThan">
      <formula>10000</formula>
    </cfRule>
  </conditionalFormatting>
  <conditionalFormatting sqref="K194:K196">
    <cfRule type="cellIs" dxfId="2322" priority="2644" operator="greaterThan">
      <formula>10000</formula>
    </cfRule>
    <cfRule type="cellIs" dxfId="2321" priority="2645" operator="greaterThanOrEqual">
      <formula>1500</formula>
    </cfRule>
    <cfRule type="cellIs" dxfId="2320" priority="2646" operator="greaterThanOrEqual">
      <formula>1450</formula>
    </cfRule>
    <cfRule type="cellIs" dxfId="2319" priority="2647" operator="greaterThan">
      <formula>1400</formula>
    </cfRule>
  </conditionalFormatting>
  <conditionalFormatting sqref="K194:K196">
    <cfRule type="cellIs" dxfId="2318" priority="2639" operator="greaterThan">
      <formula>10000</formula>
    </cfRule>
    <cfRule type="cellIs" dxfId="2317" priority="2640" operator="greaterThanOrEqual">
      <formula>1500</formula>
    </cfRule>
    <cfRule type="cellIs" dxfId="2316" priority="2641" operator="greaterThanOrEqual">
      <formula>1475</formula>
    </cfRule>
    <cfRule type="cellIs" dxfId="2315" priority="2642" operator="greaterThanOrEqual">
      <formula>1450</formula>
    </cfRule>
    <cfRule type="cellIs" dxfId="2314" priority="2643" operator="greaterThanOrEqual">
      <formula>1400</formula>
    </cfRule>
  </conditionalFormatting>
  <conditionalFormatting sqref="K194:K196">
    <cfRule type="cellIs" dxfId="2313" priority="2635" operator="greaterThan">
      <formula>10000</formula>
    </cfRule>
    <cfRule type="cellIs" dxfId="2312" priority="2636" operator="greaterThanOrEqual">
      <formula>1500</formula>
    </cfRule>
    <cfRule type="cellIs" dxfId="2311" priority="2637" operator="greaterThanOrEqual">
      <formula>1450</formula>
    </cfRule>
    <cfRule type="cellIs" dxfId="2310" priority="2638" operator="greaterThan">
      <formula>1400</formula>
    </cfRule>
  </conditionalFormatting>
  <conditionalFormatting sqref="K194:K196">
    <cfRule type="cellIs" dxfId="2309" priority="2630" operator="greaterThan">
      <formula>10000</formula>
    </cfRule>
    <cfRule type="cellIs" dxfId="2308" priority="2631" operator="greaterThanOrEqual">
      <formula>1500</formula>
    </cfRule>
    <cfRule type="cellIs" dxfId="2307" priority="2632" operator="greaterThanOrEqual">
      <formula>1475</formula>
    </cfRule>
    <cfRule type="cellIs" dxfId="2306" priority="2633" operator="greaterThanOrEqual">
      <formula>1450</formula>
    </cfRule>
    <cfRule type="cellIs" dxfId="2305" priority="2634" operator="greaterThanOrEqual">
      <formula>1400</formula>
    </cfRule>
  </conditionalFormatting>
  <conditionalFormatting sqref="K218">
    <cfRule type="cellIs" dxfId="2304" priority="2622" operator="greaterThan">
      <formula>10000</formula>
    </cfRule>
    <cfRule type="cellIs" dxfId="2303" priority="2623" operator="greaterThanOrEqual">
      <formula>1500</formula>
    </cfRule>
    <cfRule type="cellIs" dxfId="2302" priority="2624" operator="greaterThanOrEqual">
      <formula>1450</formula>
    </cfRule>
    <cfRule type="cellIs" dxfId="2301" priority="2625" operator="greaterThan">
      <formula>1400</formula>
    </cfRule>
  </conditionalFormatting>
  <conditionalFormatting sqref="K218">
    <cfRule type="cellIs" dxfId="2300" priority="2617" operator="greaterThan">
      <formula>10000</formula>
    </cfRule>
    <cfRule type="cellIs" dxfId="2299" priority="2618" operator="greaterThanOrEqual">
      <formula>1500</formula>
    </cfRule>
    <cfRule type="cellIs" dxfId="2298" priority="2619" operator="greaterThanOrEqual">
      <formula>1475</formula>
    </cfRule>
    <cfRule type="cellIs" dxfId="2297" priority="2620" operator="greaterThanOrEqual">
      <formula>1450</formula>
    </cfRule>
    <cfRule type="cellIs" dxfId="2296" priority="2621" operator="greaterThanOrEqual">
      <formula>1400</formula>
    </cfRule>
  </conditionalFormatting>
  <conditionalFormatting sqref="H198:J198 H199:I199 H224:J225 H219:I220 H1:J2 H51:J166 H48:H50 H46:J47 H45 H40:J44 H39 H38:J38 H34:H37 H27:J33 H25:H26 H23:J24 H16:H22 H15:J15 H14 H13:J13 H11:H12 H10:J10 H8:H9 H4:J7 H3 H221 H223 H234:J235 H230 H185:J196 H169:J175 H167:H168 H244:J1048576 H207:J218 H176:H184 H236:H237 H233 H239:H240 H242:H243">
    <cfRule type="cellIs" dxfId="2295" priority="2590" operator="greaterThan">
      <formula>10000</formula>
    </cfRule>
    <cfRule type="cellIs" dxfId="2294" priority="2592" operator="greaterThanOrEqual">
      <formula>1550</formula>
    </cfRule>
    <cfRule type="cellIs" dxfId="2293" priority="2593" operator="greaterThanOrEqual">
      <formula>1525</formula>
    </cfRule>
    <cfRule type="cellIs" dxfId="2292" priority="2594" operator="greaterThanOrEqual">
      <formula>1475</formula>
    </cfRule>
    <cfRule type="cellIs" dxfId="2291" priority="2595" operator="greaterThanOrEqual">
      <formula>1400</formula>
    </cfRule>
  </conditionalFormatting>
  <conditionalFormatting sqref="H198:J198 H199:I199 H224:J225 H219:I220 H1:J2 H51:J166 H48:H50 H46:J47 H45 H40:J44 H39 H38:J38 H34:H37 H27:J33 H25:H26 H23:J24 H16:H22 H15:J15 H14 H13:J13 H11:H12 H10:J10 H8:H9 H4:J7 H3 H221 H223 H234:J235 H230 H185:J196 H169:J175 H167:H168 H244:J1048576 H207:J218 H176:H184 H236:H237 H233 H239:H240 H242:H243">
    <cfRule type="cellIs" dxfId="2290" priority="2591" operator="greaterThan">
      <formula>1600</formula>
    </cfRule>
  </conditionalFormatting>
  <conditionalFormatting sqref="K163">
    <cfRule type="cellIs" dxfId="2289" priority="2586" operator="greaterThan">
      <formula>10000</formula>
    </cfRule>
    <cfRule type="cellIs" dxfId="2288" priority="2587" operator="greaterThanOrEqual">
      <formula>1500</formula>
    </cfRule>
    <cfRule type="cellIs" dxfId="2287" priority="2588" operator="greaterThanOrEqual">
      <formula>1450</formula>
    </cfRule>
    <cfRule type="cellIs" dxfId="2286" priority="2589" operator="greaterThan">
      <formula>1400</formula>
    </cfRule>
  </conditionalFormatting>
  <conditionalFormatting sqref="K163">
    <cfRule type="cellIs" dxfId="2285" priority="2581" operator="greaterThan">
      <formula>10000</formula>
    </cfRule>
    <cfRule type="cellIs" dxfId="2284" priority="2582" operator="greaterThanOrEqual">
      <formula>1500</formula>
    </cfRule>
    <cfRule type="cellIs" dxfId="2283" priority="2583" operator="greaterThanOrEqual">
      <formula>1475</formula>
    </cfRule>
    <cfRule type="cellIs" dxfId="2282" priority="2584" operator="greaterThanOrEqual">
      <formula>1450</formula>
    </cfRule>
    <cfRule type="cellIs" dxfId="2281" priority="2585" operator="greaterThanOrEqual">
      <formula>1400</formula>
    </cfRule>
  </conditionalFormatting>
  <conditionalFormatting sqref="K163">
    <cfRule type="cellIs" dxfId="2280" priority="2577" operator="greaterThan">
      <formula>10000</formula>
    </cfRule>
    <cfRule type="cellIs" dxfId="2279" priority="2578" operator="greaterThanOrEqual">
      <formula>1500</formula>
    </cfRule>
    <cfRule type="cellIs" dxfId="2278" priority="2579" operator="greaterThanOrEqual">
      <formula>1450</formula>
    </cfRule>
    <cfRule type="cellIs" dxfId="2277" priority="2580" operator="greaterThan">
      <formula>1400</formula>
    </cfRule>
  </conditionalFormatting>
  <conditionalFormatting sqref="K163">
    <cfRule type="cellIs" dxfId="2276" priority="2572" operator="greaterThan">
      <formula>10000</formula>
    </cfRule>
    <cfRule type="cellIs" dxfId="2275" priority="2573" operator="greaterThanOrEqual">
      <formula>1500</formula>
    </cfRule>
    <cfRule type="cellIs" dxfId="2274" priority="2574" operator="greaterThanOrEqual">
      <formula>1475</formula>
    </cfRule>
    <cfRule type="cellIs" dxfId="2273" priority="2575" operator="greaterThanOrEqual">
      <formula>1450</formula>
    </cfRule>
    <cfRule type="cellIs" dxfId="2272" priority="2576" operator="greaterThanOrEqual">
      <formula>1400</formula>
    </cfRule>
  </conditionalFormatting>
  <conditionalFormatting sqref="K164">
    <cfRule type="cellIs" dxfId="2271" priority="2568" operator="greaterThan">
      <formula>10000</formula>
    </cfRule>
    <cfRule type="cellIs" dxfId="2270" priority="2569" operator="greaterThanOrEqual">
      <formula>1500</formula>
    </cfRule>
    <cfRule type="cellIs" dxfId="2269" priority="2570" operator="greaterThanOrEqual">
      <formula>1450</formula>
    </cfRule>
    <cfRule type="cellIs" dxfId="2268" priority="2571" operator="greaterThan">
      <formula>1400</formula>
    </cfRule>
  </conditionalFormatting>
  <conditionalFormatting sqref="K164">
    <cfRule type="cellIs" dxfId="2267" priority="2563" operator="greaterThan">
      <formula>10000</formula>
    </cfRule>
    <cfRule type="cellIs" dxfId="2266" priority="2564" operator="greaterThanOrEqual">
      <formula>1500</formula>
    </cfRule>
    <cfRule type="cellIs" dxfId="2265" priority="2565" operator="greaterThanOrEqual">
      <formula>1475</formula>
    </cfRule>
    <cfRule type="cellIs" dxfId="2264" priority="2566" operator="greaterThanOrEqual">
      <formula>1450</formula>
    </cfRule>
    <cfRule type="cellIs" dxfId="2263" priority="2567" operator="greaterThanOrEqual">
      <formula>1400</formula>
    </cfRule>
  </conditionalFormatting>
  <conditionalFormatting sqref="K164">
    <cfRule type="cellIs" dxfId="2262" priority="2559" operator="greaterThan">
      <formula>10000</formula>
    </cfRule>
    <cfRule type="cellIs" dxfId="2261" priority="2560" operator="greaterThanOrEqual">
      <formula>1500</formula>
    </cfRule>
    <cfRule type="cellIs" dxfId="2260" priority="2561" operator="greaterThanOrEqual">
      <formula>1450</formula>
    </cfRule>
    <cfRule type="cellIs" dxfId="2259" priority="2562" operator="greaterThan">
      <formula>1400</formula>
    </cfRule>
  </conditionalFormatting>
  <conditionalFormatting sqref="K164">
    <cfRule type="cellIs" dxfId="2258" priority="2554" operator="greaterThan">
      <formula>10000</formula>
    </cfRule>
    <cfRule type="cellIs" dxfId="2257" priority="2555" operator="greaterThanOrEqual">
      <formula>1500</formula>
    </cfRule>
    <cfRule type="cellIs" dxfId="2256" priority="2556" operator="greaterThanOrEqual">
      <formula>1475</formula>
    </cfRule>
    <cfRule type="cellIs" dxfId="2255" priority="2557" operator="greaterThanOrEqual">
      <formula>1450</formula>
    </cfRule>
    <cfRule type="cellIs" dxfId="2254" priority="2558" operator="greaterThanOrEqual">
      <formula>1400</formula>
    </cfRule>
  </conditionalFormatting>
  <conditionalFormatting sqref="K164">
    <cfRule type="cellIs" dxfId="2253" priority="2550" operator="greaterThan">
      <formula>10000</formula>
    </cfRule>
    <cfRule type="cellIs" dxfId="2252" priority="2551" operator="greaterThanOrEqual">
      <formula>1500</formula>
    </cfRule>
    <cfRule type="cellIs" dxfId="2251" priority="2552" operator="greaterThanOrEqual">
      <formula>1450</formula>
    </cfRule>
    <cfRule type="cellIs" dxfId="2250" priority="2553" operator="greaterThan">
      <formula>1400</formula>
    </cfRule>
  </conditionalFormatting>
  <conditionalFormatting sqref="K164">
    <cfRule type="cellIs" dxfId="2249" priority="2545" operator="greaterThan">
      <formula>10000</formula>
    </cfRule>
    <cfRule type="cellIs" dxfId="2248" priority="2546" operator="greaterThanOrEqual">
      <formula>1500</formula>
    </cfRule>
    <cfRule type="cellIs" dxfId="2247" priority="2547" operator="greaterThanOrEqual">
      <formula>1475</formula>
    </cfRule>
    <cfRule type="cellIs" dxfId="2246" priority="2548" operator="greaterThanOrEqual">
      <formula>1450</formula>
    </cfRule>
    <cfRule type="cellIs" dxfId="2245" priority="2549" operator="greaterThanOrEqual">
      <formula>1400</formula>
    </cfRule>
  </conditionalFormatting>
  <conditionalFormatting sqref="K165">
    <cfRule type="cellIs" dxfId="2244" priority="2541" operator="greaterThan">
      <formula>10000</formula>
    </cfRule>
    <cfRule type="cellIs" dxfId="2243" priority="2542" operator="greaterThanOrEqual">
      <formula>1500</formula>
    </cfRule>
    <cfRule type="cellIs" dxfId="2242" priority="2543" operator="greaterThanOrEqual">
      <formula>1450</formula>
    </cfRule>
    <cfRule type="cellIs" dxfId="2241" priority="2544" operator="greaterThan">
      <formula>1400</formula>
    </cfRule>
  </conditionalFormatting>
  <conditionalFormatting sqref="K165">
    <cfRule type="cellIs" dxfId="2240" priority="2536" operator="greaterThan">
      <formula>10000</formula>
    </cfRule>
    <cfRule type="cellIs" dxfId="2239" priority="2537" operator="greaterThanOrEqual">
      <formula>1500</formula>
    </cfRule>
    <cfRule type="cellIs" dxfId="2238" priority="2538" operator="greaterThanOrEqual">
      <formula>1475</formula>
    </cfRule>
    <cfRule type="cellIs" dxfId="2237" priority="2539" operator="greaterThanOrEqual">
      <formula>1450</formula>
    </cfRule>
    <cfRule type="cellIs" dxfId="2236" priority="2540" operator="greaterThanOrEqual">
      <formula>1400</formula>
    </cfRule>
  </conditionalFormatting>
  <conditionalFormatting sqref="K165">
    <cfRule type="cellIs" dxfId="2235" priority="2532" operator="greaterThan">
      <formula>10000</formula>
    </cfRule>
    <cfRule type="cellIs" dxfId="2234" priority="2533" operator="greaterThanOrEqual">
      <formula>1500</formula>
    </cfRule>
    <cfRule type="cellIs" dxfId="2233" priority="2534" operator="greaterThanOrEqual">
      <formula>1450</formula>
    </cfRule>
    <cfRule type="cellIs" dxfId="2232" priority="2535" operator="greaterThan">
      <formula>1400</formula>
    </cfRule>
  </conditionalFormatting>
  <conditionalFormatting sqref="K165">
    <cfRule type="cellIs" dxfId="2231" priority="2527" operator="greaterThan">
      <formula>10000</formula>
    </cfRule>
    <cfRule type="cellIs" dxfId="2230" priority="2528" operator="greaterThanOrEqual">
      <formula>1500</formula>
    </cfRule>
    <cfRule type="cellIs" dxfId="2229" priority="2529" operator="greaterThanOrEqual">
      <formula>1475</formula>
    </cfRule>
    <cfRule type="cellIs" dxfId="2228" priority="2530" operator="greaterThanOrEqual">
      <formula>1450</formula>
    </cfRule>
    <cfRule type="cellIs" dxfId="2227" priority="2531" operator="greaterThanOrEqual">
      <formula>1400</formula>
    </cfRule>
  </conditionalFormatting>
  <conditionalFormatting sqref="K165">
    <cfRule type="cellIs" dxfId="2226" priority="2523" operator="greaterThan">
      <formula>10000</formula>
    </cfRule>
    <cfRule type="cellIs" dxfId="2225" priority="2524" operator="greaterThanOrEqual">
      <formula>1500</formula>
    </cfRule>
    <cfRule type="cellIs" dxfId="2224" priority="2525" operator="greaterThanOrEqual">
      <formula>1450</formula>
    </cfRule>
    <cfRule type="cellIs" dxfId="2223" priority="2526" operator="greaterThan">
      <formula>1400</formula>
    </cfRule>
  </conditionalFormatting>
  <conditionalFormatting sqref="K165">
    <cfRule type="cellIs" dxfId="2222" priority="2518" operator="greaterThan">
      <formula>10000</formula>
    </cfRule>
    <cfRule type="cellIs" dxfId="2221" priority="2519" operator="greaterThanOrEqual">
      <formula>1500</formula>
    </cfRule>
    <cfRule type="cellIs" dxfId="2220" priority="2520" operator="greaterThanOrEqual">
      <formula>1475</formula>
    </cfRule>
    <cfRule type="cellIs" dxfId="2219" priority="2521" operator="greaterThanOrEqual">
      <formula>1450</formula>
    </cfRule>
    <cfRule type="cellIs" dxfId="2218" priority="2522" operator="greaterThanOrEqual">
      <formula>1400</formula>
    </cfRule>
  </conditionalFormatting>
  <conditionalFormatting sqref="K166">
    <cfRule type="cellIs" dxfId="2217" priority="2514" operator="greaterThan">
      <formula>10000</formula>
    </cfRule>
    <cfRule type="cellIs" dxfId="2216" priority="2515" operator="greaterThanOrEqual">
      <formula>1500</formula>
    </cfRule>
    <cfRule type="cellIs" dxfId="2215" priority="2516" operator="greaterThanOrEqual">
      <formula>1450</formula>
    </cfRule>
    <cfRule type="cellIs" dxfId="2214" priority="2517" operator="greaterThan">
      <formula>1400</formula>
    </cfRule>
  </conditionalFormatting>
  <conditionalFormatting sqref="K166">
    <cfRule type="cellIs" dxfId="2213" priority="2509" operator="greaterThan">
      <formula>10000</formula>
    </cfRule>
    <cfRule type="cellIs" dxfId="2212" priority="2510" operator="greaterThanOrEqual">
      <formula>1500</formula>
    </cfRule>
    <cfRule type="cellIs" dxfId="2211" priority="2511" operator="greaterThanOrEqual">
      <formula>1475</formula>
    </cfRule>
    <cfRule type="cellIs" dxfId="2210" priority="2512" operator="greaterThanOrEqual">
      <formula>1450</formula>
    </cfRule>
    <cfRule type="cellIs" dxfId="2209" priority="2513" operator="greaterThanOrEqual">
      <formula>1400</formula>
    </cfRule>
  </conditionalFormatting>
  <conditionalFormatting sqref="K166">
    <cfRule type="cellIs" dxfId="2208" priority="2505" operator="greaterThan">
      <formula>10000</formula>
    </cfRule>
    <cfRule type="cellIs" dxfId="2207" priority="2506" operator="greaterThanOrEqual">
      <formula>1500</formula>
    </cfRule>
    <cfRule type="cellIs" dxfId="2206" priority="2507" operator="greaterThanOrEqual">
      <formula>1450</formula>
    </cfRule>
    <cfRule type="cellIs" dxfId="2205" priority="2508" operator="greaterThan">
      <formula>1400</formula>
    </cfRule>
  </conditionalFormatting>
  <conditionalFormatting sqref="K166">
    <cfRule type="cellIs" dxfId="2204" priority="2500" operator="greaterThan">
      <formula>10000</formula>
    </cfRule>
    <cfRule type="cellIs" dxfId="2203" priority="2501" operator="greaterThanOrEqual">
      <formula>1500</formula>
    </cfRule>
    <cfRule type="cellIs" dxfId="2202" priority="2502" operator="greaterThanOrEqual">
      <formula>1475</formula>
    </cfRule>
    <cfRule type="cellIs" dxfId="2201" priority="2503" operator="greaterThanOrEqual">
      <formula>1450</formula>
    </cfRule>
    <cfRule type="cellIs" dxfId="2200" priority="2504" operator="greaterThanOrEqual">
      <formula>1400</formula>
    </cfRule>
  </conditionalFormatting>
  <conditionalFormatting sqref="K166">
    <cfRule type="cellIs" dxfId="2199" priority="2496" operator="greaterThan">
      <formula>10000</formula>
    </cfRule>
    <cfRule type="cellIs" dxfId="2198" priority="2497" operator="greaterThanOrEqual">
      <formula>1500</formula>
    </cfRule>
    <cfRule type="cellIs" dxfId="2197" priority="2498" operator="greaterThanOrEqual">
      <formula>1450</formula>
    </cfRule>
    <cfRule type="cellIs" dxfId="2196" priority="2499" operator="greaterThan">
      <formula>1400</formula>
    </cfRule>
  </conditionalFormatting>
  <conditionalFormatting sqref="K166">
    <cfRule type="cellIs" dxfId="2195" priority="2491" operator="greaterThan">
      <formula>10000</formula>
    </cfRule>
    <cfRule type="cellIs" dxfId="2194" priority="2492" operator="greaterThanOrEqual">
      <formula>1500</formula>
    </cfRule>
    <cfRule type="cellIs" dxfId="2193" priority="2493" operator="greaterThanOrEqual">
      <formula>1475</formula>
    </cfRule>
    <cfRule type="cellIs" dxfId="2192" priority="2494" operator="greaterThanOrEqual">
      <formula>1450</formula>
    </cfRule>
    <cfRule type="cellIs" dxfId="2191" priority="2495" operator="greaterThanOrEqual">
      <formula>1400</formula>
    </cfRule>
  </conditionalFormatting>
  <conditionalFormatting sqref="K197">
    <cfRule type="cellIs" dxfId="2190" priority="2487" operator="greaterThan">
      <formula>10000</formula>
    </cfRule>
    <cfRule type="cellIs" dxfId="2189" priority="2488" operator="greaterThanOrEqual">
      <formula>1500</formula>
    </cfRule>
    <cfRule type="cellIs" dxfId="2188" priority="2489" operator="greaterThanOrEqual">
      <formula>1450</formula>
    </cfRule>
    <cfRule type="cellIs" dxfId="2187" priority="2490" operator="greaterThan">
      <formula>1400</formula>
    </cfRule>
  </conditionalFormatting>
  <conditionalFormatting sqref="K197">
    <cfRule type="cellIs" dxfId="2186" priority="2482" operator="greaterThan">
      <formula>10000</formula>
    </cfRule>
    <cfRule type="cellIs" dxfId="2185" priority="2483" operator="greaterThanOrEqual">
      <formula>1500</formula>
    </cfRule>
    <cfRule type="cellIs" dxfId="2184" priority="2484" operator="greaterThanOrEqual">
      <formula>1475</formula>
    </cfRule>
    <cfRule type="cellIs" dxfId="2183" priority="2485" operator="greaterThanOrEqual">
      <formula>1450</formula>
    </cfRule>
    <cfRule type="cellIs" dxfId="2182" priority="2486" operator="greaterThanOrEqual">
      <formula>1400</formula>
    </cfRule>
  </conditionalFormatting>
  <conditionalFormatting sqref="K197">
    <cfRule type="cellIs" dxfId="2181" priority="2478" operator="greaterThan">
      <formula>10000</formula>
    </cfRule>
    <cfRule type="cellIs" dxfId="2180" priority="2479" operator="greaterThanOrEqual">
      <formula>1500</formula>
    </cfRule>
    <cfRule type="cellIs" dxfId="2179" priority="2480" operator="greaterThanOrEqual">
      <formula>1450</formula>
    </cfRule>
    <cfRule type="cellIs" dxfId="2178" priority="2481" operator="greaterThan">
      <formula>1400</formula>
    </cfRule>
  </conditionalFormatting>
  <conditionalFormatting sqref="K197">
    <cfRule type="cellIs" dxfId="2177" priority="2473" operator="greaterThan">
      <formula>10000</formula>
    </cfRule>
    <cfRule type="cellIs" dxfId="2176" priority="2474" operator="greaterThanOrEqual">
      <formula>1500</formula>
    </cfRule>
    <cfRule type="cellIs" dxfId="2175" priority="2475" operator="greaterThanOrEqual">
      <formula>1475</formula>
    </cfRule>
    <cfRule type="cellIs" dxfId="2174" priority="2476" operator="greaterThanOrEqual">
      <formula>1450</formula>
    </cfRule>
    <cfRule type="cellIs" dxfId="2173" priority="2477" operator="greaterThanOrEqual">
      <formula>1400</formula>
    </cfRule>
  </conditionalFormatting>
  <conditionalFormatting sqref="H197:J197">
    <cfRule type="cellIs" dxfId="2172" priority="2470" operator="greaterThan">
      <formula>10000</formula>
    </cfRule>
  </conditionalFormatting>
  <conditionalFormatting sqref="H197:J197">
    <cfRule type="cellIs" dxfId="2171" priority="2464" operator="greaterThan">
      <formula>10000</formula>
    </cfRule>
    <cfRule type="cellIs" dxfId="2170" priority="2466" operator="greaterThanOrEqual">
      <formula>1550</formula>
    </cfRule>
    <cfRule type="cellIs" dxfId="2169" priority="2467" operator="greaterThanOrEqual">
      <formula>1525</formula>
    </cfRule>
    <cfRule type="cellIs" dxfId="2168" priority="2468" operator="greaterThanOrEqual">
      <formula>1475</formula>
    </cfRule>
    <cfRule type="cellIs" dxfId="2167" priority="2469" operator="greaterThanOrEqual">
      <formula>1400</formula>
    </cfRule>
  </conditionalFormatting>
  <conditionalFormatting sqref="H197:J197">
    <cfRule type="cellIs" dxfId="2166" priority="2465" operator="greaterThan">
      <formula>1600</formula>
    </cfRule>
  </conditionalFormatting>
  <conditionalFormatting sqref="E1:E199 E207:E221 E223:E225 E230 E239:E240 E233:E237 E242:E1048576">
    <cfRule type="cellIs" dxfId="2165" priority="2463" operator="between">
      <formula>0.1</formula>
      <formula>35</formula>
    </cfRule>
  </conditionalFormatting>
  <conditionalFormatting sqref="F207 F1:F181 F239 F242:F1048576">
    <cfRule type="cellIs" dxfId="2164" priority="2462" operator="between">
      <formula>0.1</formula>
      <formula>89</formula>
    </cfRule>
  </conditionalFormatting>
  <conditionalFormatting sqref="B1:D199 B207:D221 B223:D225 B230:D230 B239:D240 B237:C237 E237 B233:D236 B242:D1048576">
    <cfRule type="cellIs" dxfId="2163" priority="2461" operator="between">
      <formula>0.1</formula>
      <formula>15</formula>
    </cfRule>
  </conditionalFormatting>
  <conditionalFormatting sqref="K199">
    <cfRule type="cellIs" dxfId="2162" priority="2452" operator="greaterThan">
      <formula>10000</formula>
    </cfRule>
    <cfRule type="cellIs" dxfId="2161" priority="2453" operator="greaterThanOrEqual">
      <formula>1500</formula>
    </cfRule>
    <cfRule type="cellIs" dxfId="2160" priority="2454" operator="greaterThanOrEqual">
      <formula>1450</formula>
    </cfRule>
    <cfRule type="cellIs" dxfId="2159" priority="2455" operator="greaterThan">
      <formula>1400</formula>
    </cfRule>
  </conditionalFormatting>
  <conditionalFormatting sqref="K199">
    <cfRule type="cellIs" dxfId="2158" priority="2447" operator="greaterThan">
      <formula>10000</formula>
    </cfRule>
    <cfRule type="cellIs" dxfId="2157" priority="2448" operator="greaterThanOrEqual">
      <formula>1500</formula>
    </cfRule>
    <cfRule type="cellIs" dxfId="2156" priority="2449" operator="greaterThanOrEqual">
      <formula>1475</formula>
    </cfRule>
    <cfRule type="cellIs" dxfId="2155" priority="2450" operator="greaterThanOrEqual">
      <formula>1450</formula>
    </cfRule>
    <cfRule type="cellIs" dxfId="2154" priority="2451" operator="greaterThanOrEqual">
      <formula>1400</formula>
    </cfRule>
  </conditionalFormatting>
  <conditionalFormatting sqref="K199">
    <cfRule type="cellIs" dxfId="2153" priority="2443" operator="greaterThan">
      <formula>10000</formula>
    </cfRule>
    <cfRule type="cellIs" dxfId="2152" priority="2444" operator="greaterThanOrEqual">
      <formula>1500</formula>
    </cfRule>
    <cfRule type="cellIs" dxfId="2151" priority="2445" operator="greaterThanOrEqual">
      <formula>1450</formula>
    </cfRule>
    <cfRule type="cellIs" dxfId="2150" priority="2446" operator="greaterThan">
      <formula>1400</formula>
    </cfRule>
  </conditionalFormatting>
  <conditionalFormatting sqref="K199">
    <cfRule type="cellIs" dxfId="2149" priority="2438" operator="greaterThan">
      <formula>10000</formula>
    </cfRule>
    <cfRule type="cellIs" dxfId="2148" priority="2439" operator="greaterThanOrEqual">
      <formula>1500</formula>
    </cfRule>
    <cfRule type="cellIs" dxfId="2147" priority="2440" operator="greaterThanOrEqual">
      <formula>1475</formula>
    </cfRule>
    <cfRule type="cellIs" dxfId="2146" priority="2441" operator="greaterThanOrEqual">
      <formula>1450</formula>
    </cfRule>
    <cfRule type="cellIs" dxfId="2145" priority="2442" operator="greaterThanOrEqual">
      <formula>1400</formula>
    </cfRule>
  </conditionalFormatting>
  <conditionalFormatting sqref="J199">
    <cfRule type="cellIs" dxfId="2144" priority="2437" operator="greaterThan">
      <formula>10000</formula>
    </cfRule>
  </conditionalFormatting>
  <conditionalFormatting sqref="J199">
    <cfRule type="cellIs" dxfId="2143" priority="2431" operator="greaterThan">
      <formula>10000</formula>
    </cfRule>
    <cfRule type="cellIs" dxfId="2142" priority="2433" operator="greaterThanOrEqual">
      <formula>1550</formula>
    </cfRule>
    <cfRule type="cellIs" dxfId="2141" priority="2434" operator="greaterThanOrEqual">
      <formula>1525</formula>
    </cfRule>
    <cfRule type="cellIs" dxfId="2140" priority="2435" operator="greaterThanOrEqual">
      <formula>1475</formula>
    </cfRule>
    <cfRule type="cellIs" dxfId="2139" priority="2436" operator="greaterThanOrEqual">
      <formula>1400</formula>
    </cfRule>
  </conditionalFormatting>
  <conditionalFormatting sqref="J199">
    <cfRule type="cellIs" dxfId="2138" priority="2432" operator="greaterThan">
      <formula>1600</formula>
    </cfRule>
  </conditionalFormatting>
  <conditionalFormatting sqref="J219:J220">
    <cfRule type="cellIs" dxfId="2137" priority="2421" operator="greaterThan">
      <formula>10000</formula>
    </cfRule>
  </conditionalFormatting>
  <conditionalFormatting sqref="K219:K220">
    <cfRule type="cellIs" dxfId="2136" priority="2427" operator="greaterThan">
      <formula>10000</formula>
    </cfRule>
    <cfRule type="cellIs" dxfId="2135" priority="2428" operator="greaterThanOrEqual">
      <formula>1500</formula>
    </cfRule>
    <cfRule type="cellIs" dxfId="2134" priority="2429" operator="greaterThanOrEqual">
      <formula>1450</formula>
    </cfRule>
    <cfRule type="cellIs" dxfId="2133" priority="2430" operator="greaterThan">
      <formula>1400</formula>
    </cfRule>
  </conditionalFormatting>
  <conditionalFormatting sqref="K219:K220">
    <cfRule type="cellIs" dxfId="2132" priority="2422" operator="greaterThan">
      <formula>10000</formula>
    </cfRule>
    <cfRule type="cellIs" dxfId="2131" priority="2423" operator="greaterThanOrEqual">
      <formula>1500</formula>
    </cfRule>
    <cfRule type="cellIs" dxfId="2130" priority="2424" operator="greaterThanOrEqual">
      <formula>1475</formula>
    </cfRule>
    <cfRule type="cellIs" dxfId="2129" priority="2425" operator="greaterThanOrEqual">
      <formula>1450</formula>
    </cfRule>
    <cfRule type="cellIs" dxfId="2128" priority="2426" operator="greaterThanOrEqual">
      <formula>1400</formula>
    </cfRule>
  </conditionalFormatting>
  <conditionalFormatting sqref="J219:J220">
    <cfRule type="cellIs" dxfId="2127" priority="2415" operator="greaterThan">
      <formula>10000</formula>
    </cfRule>
    <cfRule type="cellIs" dxfId="2126" priority="2417" operator="greaterThanOrEqual">
      <formula>1550</formula>
    </cfRule>
    <cfRule type="cellIs" dxfId="2125" priority="2418" operator="greaterThanOrEqual">
      <formula>1525</formula>
    </cfRule>
    <cfRule type="cellIs" dxfId="2124" priority="2419" operator="greaterThanOrEqual">
      <formula>1475</formula>
    </cfRule>
    <cfRule type="cellIs" dxfId="2123" priority="2420" operator="greaterThanOrEqual">
      <formula>1400</formula>
    </cfRule>
  </conditionalFormatting>
  <conditionalFormatting sqref="J219:J220">
    <cfRule type="cellIs" dxfId="2122" priority="2416" operator="greaterThan">
      <formula>1600</formula>
    </cfRule>
  </conditionalFormatting>
  <conditionalFormatting sqref="I221">
    <cfRule type="cellIs" dxfId="2121" priority="2414" operator="greaterThan">
      <formula>10000</formula>
    </cfRule>
  </conditionalFormatting>
  <conditionalFormatting sqref="I221">
    <cfRule type="cellIs" dxfId="2120" priority="2408" operator="greaterThan">
      <formula>10000</formula>
    </cfRule>
    <cfRule type="cellIs" dxfId="2119" priority="2410" operator="greaterThanOrEqual">
      <formula>1550</formula>
    </cfRule>
    <cfRule type="cellIs" dxfId="2118" priority="2411" operator="greaterThanOrEqual">
      <formula>1525</formula>
    </cfRule>
    <cfRule type="cellIs" dxfId="2117" priority="2412" operator="greaterThanOrEqual">
      <formula>1475</formula>
    </cfRule>
    <cfRule type="cellIs" dxfId="2116" priority="2413" operator="greaterThanOrEqual">
      <formula>1400</formula>
    </cfRule>
  </conditionalFormatting>
  <conditionalFormatting sqref="I221">
    <cfRule type="cellIs" dxfId="2115" priority="2409" operator="greaterThan">
      <formula>1600</formula>
    </cfRule>
  </conditionalFormatting>
  <conditionalFormatting sqref="J221">
    <cfRule type="cellIs" dxfId="2114" priority="2398" operator="greaterThan">
      <formula>10000</formula>
    </cfRule>
  </conditionalFormatting>
  <conditionalFormatting sqref="K221">
    <cfRule type="cellIs" dxfId="2113" priority="2404" operator="greaterThan">
      <formula>10000</formula>
    </cfRule>
    <cfRule type="cellIs" dxfId="2112" priority="2405" operator="greaterThanOrEqual">
      <formula>1500</formula>
    </cfRule>
    <cfRule type="cellIs" dxfId="2111" priority="2406" operator="greaterThanOrEqual">
      <formula>1450</formula>
    </cfRule>
    <cfRule type="cellIs" dxfId="2110" priority="2407" operator="greaterThan">
      <formula>1400</formula>
    </cfRule>
  </conditionalFormatting>
  <conditionalFormatting sqref="K221">
    <cfRule type="cellIs" dxfId="2109" priority="2399" operator="greaterThan">
      <formula>10000</formula>
    </cfRule>
    <cfRule type="cellIs" dxfId="2108" priority="2400" operator="greaterThanOrEqual">
      <formula>1500</formula>
    </cfRule>
    <cfRule type="cellIs" dxfId="2107" priority="2401" operator="greaterThanOrEqual">
      <formula>1475</formula>
    </cfRule>
    <cfRule type="cellIs" dxfId="2106" priority="2402" operator="greaterThanOrEqual">
      <formula>1450</formula>
    </cfRule>
    <cfRule type="cellIs" dxfId="2105" priority="2403" operator="greaterThanOrEqual">
      <formula>1400</formula>
    </cfRule>
  </conditionalFormatting>
  <conditionalFormatting sqref="J221">
    <cfRule type="cellIs" dxfId="2104" priority="2392" operator="greaterThan">
      <formula>10000</formula>
    </cfRule>
    <cfRule type="cellIs" dxfId="2103" priority="2394" operator="greaterThanOrEqual">
      <formula>1550</formula>
    </cfRule>
    <cfRule type="cellIs" dxfId="2102" priority="2395" operator="greaterThanOrEqual">
      <formula>1525</formula>
    </cfRule>
    <cfRule type="cellIs" dxfId="2101" priority="2396" operator="greaterThanOrEqual">
      <formula>1475</formula>
    </cfRule>
    <cfRule type="cellIs" dxfId="2100" priority="2397" operator="greaterThanOrEqual">
      <formula>1400</formula>
    </cfRule>
  </conditionalFormatting>
  <conditionalFormatting sqref="J221">
    <cfRule type="cellIs" dxfId="2099" priority="2393" operator="greaterThan">
      <formula>1600</formula>
    </cfRule>
  </conditionalFormatting>
  <conditionalFormatting sqref="K53">
    <cfRule type="cellIs" dxfId="2098" priority="2388" operator="greaterThan">
      <formula>10000</formula>
    </cfRule>
    <cfRule type="cellIs" dxfId="2097" priority="2389" operator="greaterThanOrEqual">
      <formula>1500</formula>
    </cfRule>
    <cfRule type="cellIs" dxfId="2096" priority="2390" operator="greaterThanOrEqual">
      <formula>1450</formula>
    </cfRule>
    <cfRule type="cellIs" dxfId="2095" priority="2391" operator="greaterThan">
      <formula>1400</formula>
    </cfRule>
  </conditionalFormatting>
  <conditionalFormatting sqref="K53">
    <cfRule type="cellIs" dxfId="2094" priority="2383" operator="greaterThan">
      <formula>10000</formula>
    </cfRule>
    <cfRule type="cellIs" dxfId="2093" priority="2384" operator="greaterThanOrEqual">
      <formula>1500</formula>
    </cfRule>
    <cfRule type="cellIs" dxfId="2092" priority="2385" operator="greaterThanOrEqual">
      <formula>1475</formula>
    </cfRule>
    <cfRule type="cellIs" dxfId="2091" priority="2386" operator="greaterThanOrEqual">
      <formula>1450</formula>
    </cfRule>
    <cfRule type="cellIs" dxfId="2090" priority="2387" operator="greaterThanOrEqual">
      <formula>1400</formula>
    </cfRule>
  </conditionalFormatting>
  <conditionalFormatting sqref="K53">
    <cfRule type="cellIs" dxfId="2089" priority="2379" operator="greaterThan">
      <formula>10000</formula>
    </cfRule>
    <cfRule type="cellIs" dxfId="2088" priority="2380" operator="greaterThanOrEqual">
      <formula>1500</formula>
    </cfRule>
    <cfRule type="cellIs" dxfId="2087" priority="2381" operator="greaterThanOrEqual">
      <formula>1450</formula>
    </cfRule>
    <cfRule type="cellIs" dxfId="2086" priority="2382" operator="greaterThan">
      <formula>1400</formula>
    </cfRule>
  </conditionalFormatting>
  <conditionalFormatting sqref="K53">
    <cfRule type="cellIs" dxfId="2085" priority="2374" operator="greaterThan">
      <formula>10000</formula>
    </cfRule>
    <cfRule type="cellIs" dxfId="2084" priority="2375" operator="greaterThanOrEqual">
      <formula>1500</formula>
    </cfRule>
    <cfRule type="cellIs" dxfId="2083" priority="2376" operator="greaterThanOrEqual">
      <formula>1475</formula>
    </cfRule>
    <cfRule type="cellIs" dxfId="2082" priority="2377" operator="greaterThanOrEqual">
      <formula>1450</formula>
    </cfRule>
    <cfRule type="cellIs" dxfId="2081" priority="2378" operator="greaterThanOrEqual">
      <formula>1400</formula>
    </cfRule>
  </conditionalFormatting>
  <conditionalFormatting sqref="K53">
    <cfRule type="cellIs" dxfId="2080" priority="2370" operator="greaterThan">
      <formula>10000</formula>
    </cfRule>
    <cfRule type="cellIs" dxfId="2079" priority="2371" operator="greaterThanOrEqual">
      <formula>1500</formula>
    </cfRule>
    <cfRule type="cellIs" dxfId="2078" priority="2372" operator="greaterThanOrEqual">
      <formula>1450</formula>
    </cfRule>
    <cfRule type="cellIs" dxfId="2077" priority="2373" operator="greaterThan">
      <formula>1400</formula>
    </cfRule>
  </conditionalFormatting>
  <conditionalFormatting sqref="K53">
    <cfRule type="cellIs" dxfId="2076" priority="2365" operator="greaterThan">
      <formula>10000</formula>
    </cfRule>
    <cfRule type="cellIs" dxfId="2075" priority="2366" operator="greaterThanOrEqual">
      <formula>1500</formula>
    </cfRule>
    <cfRule type="cellIs" dxfId="2074" priority="2367" operator="greaterThanOrEqual">
      <formula>1475</formula>
    </cfRule>
    <cfRule type="cellIs" dxfId="2073" priority="2368" operator="greaterThanOrEqual">
      <formula>1450</formula>
    </cfRule>
    <cfRule type="cellIs" dxfId="2072" priority="2369" operator="greaterThanOrEqual">
      <formula>1400</formula>
    </cfRule>
  </conditionalFormatting>
  <conditionalFormatting sqref="I50">
    <cfRule type="cellIs" dxfId="2071" priority="2364" operator="greaterThan">
      <formula>10000</formula>
    </cfRule>
  </conditionalFormatting>
  <conditionalFormatting sqref="I50">
    <cfRule type="cellIs" dxfId="2070" priority="2358" operator="greaterThan">
      <formula>10000</formula>
    </cfRule>
    <cfRule type="cellIs" dxfId="2069" priority="2360" operator="greaterThanOrEqual">
      <formula>1550</formula>
    </cfRule>
    <cfRule type="cellIs" dxfId="2068" priority="2361" operator="greaterThanOrEqual">
      <formula>1525</formula>
    </cfRule>
    <cfRule type="cellIs" dxfId="2067" priority="2362" operator="greaterThanOrEqual">
      <formula>1475</formula>
    </cfRule>
    <cfRule type="cellIs" dxfId="2066" priority="2363" operator="greaterThanOrEqual">
      <formula>1400</formula>
    </cfRule>
  </conditionalFormatting>
  <conditionalFormatting sqref="I50">
    <cfRule type="cellIs" dxfId="2065" priority="2359" operator="greaterThan">
      <formula>1600</formula>
    </cfRule>
  </conditionalFormatting>
  <conditionalFormatting sqref="K50">
    <cfRule type="cellIs" dxfId="2064" priority="2354" operator="greaterThan">
      <formula>10000</formula>
    </cfRule>
    <cfRule type="cellIs" dxfId="2063" priority="2355" operator="greaterThanOrEqual">
      <formula>1500</formula>
    </cfRule>
    <cfRule type="cellIs" dxfId="2062" priority="2356" operator="greaterThanOrEqual">
      <formula>1450</formula>
    </cfRule>
    <cfRule type="cellIs" dxfId="2061" priority="2357" operator="greaterThan">
      <formula>1400</formula>
    </cfRule>
  </conditionalFormatting>
  <conditionalFormatting sqref="K50">
    <cfRule type="cellIs" dxfId="2060" priority="2349" operator="greaterThan">
      <formula>10000</formula>
    </cfRule>
    <cfRule type="cellIs" dxfId="2059" priority="2350" operator="greaterThanOrEqual">
      <formula>1500</formula>
    </cfRule>
    <cfRule type="cellIs" dxfId="2058" priority="2351" operator="greaterThanOrEqual">
      <formula>1475</formula>
    </cfRule>
    <cfRule type="cellIs" dxfId="2057" priority="2352" operator="greaterThanOrEqual">
      <formula>1450</formula>
    </cfRule>
    <cfRule type="cellIs" dxfId="2056" priority="2353" operator="greaterThanOrEqual">
      <formula>1400</formula>
    </cfRule>
  </conditionalFormatting>
  <conditionalFormatting sqref="K50">
    <cfRule type="cellIs" dxfId="2055" priority="2345" operator="greaterThan">
      <formula>10000</formula>
    </cfRule>
    <cfRule type="cellIs" dxfId="2054" priority="2346" operator="greaterThanOrEqual">
      <formula>1500</formula>
    </cfRule>
    <cfRule type="cellIs" dxfId="2053" priority="2347" operator="greaterThanOrEqual">
      <formula>1450</formula>
    </cfRule>
    <cfRule type="cellIs" dxfId="2052" priority="2348" operator="greaterThan">
      <formula>1400</formula>
    </cfRule>
  </conditionalFormatting>
  <conditionalFormatting sqref="K50">
    <cfRule type="cellIs" dxfId="2051" priority="2340" operator="greaterThan">
      <formula>10000</formula>
    </cfRule>
    <cfRule type="cellIs" dxfId="2050" priority="2341" operator="greaterThanOrEqual">
      <formula>1500</formula>
    </cfRule>
    <cfRule type="cellIs" dxfId="2049" priority="2342" operator="greaterThanOrEqual">
      <formula>1475</formula>
    </cfRule>
    <cfRule type="cellIs" dxfId="2048" priority="2343" operator="greaterThanOrEqual">
      <formula>1450</formula>
    </cfRule>
    <cfRule type="cellIs" dxfId="2047" priority="2344" operator="greaterThanOrEqual">
      <formula>1400</formula>
    </cfRule>
  </conditionalFormatting>
  <conditionalFormatting sqref="K50">
    <cfRule type="cellIs" dxfId="2046" priority="2336" operator="greaterThan">
      <formula>10000</formula>
    </cfRule>
    <cfRule type="cellIs" dxfId="2045" priority="2337" operator="greaterThanOrEqual">
      <formula>1500</formula>
    </cfRule>
    <cfRule type="cellIs" dxfId="2044" priority="2338" operator="greaterThanOrEqual">
      <formula>1450</formula>
    </cfRule>
    <cfRule type="cellIs" dxfId="2043" priority="2339" operator="greaterThan">
      <formula>1400</formula>
    </cfRule>
  </conditionalFormatting>
  <conditionalFormatting sqref="K50">
    <cfRule type="cellIs" dxfId="2042" priority="2331" operator="greaterThan">
      <formula>10000</formula>
    </cfRule>
    <cfRule type="cellIs" dxfId="2041" priority="2332" operator="greaterThanOrEqual">
      <formula>1500</formula>
    </cfRule>
    <cfRule type="cellIs" dxfId="2040" priority="2333" operator="greaterThanOrEqual">
      <formula>1475</formula>
    </cfRule>
    <cfRule type="cellIs" dxfId="2039" priority="2334" operator="greaterThanOrEqual">
      <formula>1450</formula>
    </cfRule>
    <cfRule type="cellIs" dxfId="2038" priority="2335" operator="greaterThanOrEqual">
      <formula>1400</formula>
    </cfRule>
  </conditionalFormatting>
  <conditionalFormatting sqref="J50">
    <cfRule type="cellIs" dxfId="2037" priority="2330" operator="greaterThan">
      <formula>10000</formula>
    </cfRule>
  </conditionalFormatting>
  <conditionalFormatting sqref="J50">
    <cfRule type="cellIs" dxfId="2036" priority="2324" operator="greaterThan">
      <formula>10000</formula>
    </cfRule>
    <cfRule type="cellIs" dxfId="2035" priority="2326" operator="greaterThanOrEqual">
      <formula>1550</formula>
    </cfRule>
    <cfRule type="cellIs" dxfId="2034" priority="2327" operator="greaterThanOrEqual">
      <formula>1525</formula>
    </cfRule>
    <cfRule type="cellIs" dxfId="2033" priority="2328" operator="greaterThanOrEqual">
      <formula>1475</formula>
    </cfRule>
    <cfRule type="cellIs" dxfId="2032" priority="2329" operator="greaterThanOrEqual">
      <formula>1400</formula>
    </cfRule>
  </conditionalFormatting>
  <conditionalFormatting sqref="J50">
    <cfRule type="cellIs" dxfId="2031" priority="2325" operator="greaterThan">
      <formula>1600</formula>
    </cfRule>
  </conditionalFormatting>
  <conditionalFormatting sqref="I49">
    <cfRule type="cellIs" dxfId="2030" priority="2323" operator="greaterThan">
      <formula>10000</formula>
    </cfRule>
  </conditionalFormatting>
  <conditionalFormatting sqref="I49">
    <cfRule type="cellIs" dxfId="2029" priority="2317" operator="greaterThan">
      <formula>10000</formula>
    </cfRule>
    <cfRule type="cellIs" dxfId="2028" priority="2319" operator="greaterThanOrEqual">
      <formula>1550</formula>
    </cfRule>
    <cfRule type="cellIs" dxfId="2027" priority="2320" operator="greaterThanOrEqual">
      <formula>1525</formula>
    </cfRule>
    <cfRule type="cellIs" dxfId="2026" priority="2321" operator="greaterThanOrEqual">
      <formula>1475</formula>
    </cfRule>
    <cfRule type="cellIs" dxfId="2025" priority="2322" operator="greaterThanOrEqual">
      <formula>1400</formula>
    </cfRule>
  </conditionalFormatting>
  <conditionalFormatting sqref="I49">
    <cfRule type="cellIs" dxfId="2024" priority="2318" operator="greaterThan">
      <formula>1600</formula>
    </cfRule>
  </conditionalFormatting>
  <conditionalFormatting sqref="I48">
    <cfRule type="cellIs" dxfId="2023" priority="2316" operator="greaterThan">
      <formula>10000</formula>
    </cfRule>
  </conditionalFormatting>
  <conditionalFormatting sqref="I48">
    <cfRule type="cellIs" dxfId="2022" priority="2310" operator="greaterThan">
      <formula>10000</formula>
    </cfRule>
    <cfRule type="cellIs" dxfId="2021" priority="2312" operator="greaterThanOrEqual">
      <formula>1550</formula>
    </cfRule>
    <cfRule type="cellIs" dxfId="2020" priority="2313" operator="greaterThanOrEqual">
      <formula>1525</formula>
    </cfRule>
    <cfRule type="cellIs" dxfId="2019" priority="2314" operator="greaterThanOrEqual">
      <formula>1475</formula>
    </cfRule>
    <cfRule type="cellIs" dxfId="2018" priority="2315" operator="greaterThanOrEqual">
      <formula>1400</formula>
    </cfRule>
  </conditionalFormatting>
  <conditionalFormatting sqref="I48">
    <cfRule type="cellIs" dxfId="2017" priority="2311" operator="greaterThan">
      <formula>1600</formula>
    </cfRule>
  </conditionalFormatting>
  <conditionalFormatting sqref="K48:K49">
    <cfRule type="cellIs" dxfId="2016" priority="2306" operator="greaterThan">
      <formula>10000</formula>
    </cfRule>
    <cfRule type="cellIs" dxfId="2015" priority="2307" operator="greaterThanOrEqual">
      <formula>1500</formula>
    </cfRule>
    <cfRule type="cellIs" dxfId="2014" priority="2308" operator="greaterThanOrEqual">
      <formula>1450</formula>
    </cfRule>
    <cfRule type="cellIs" dxfId="2013" priority="2309" operator="greaterThan">
      <formula>1400</formula>
    </cfRule>
  </conditionalFormatting>
  <conditionalFormatting sqref="K48:K49">
    <cfRule type="cellIs" dxfId="2012" priority="2301" operator="greaterThan">
      <formula>10000</formula>
    </cfRule>
    <cfRule type="cellIs" dxfId="2011" priority="2302" operator="greaterThanOrEqual">
      <formula>1500</formula>
    </cfRule>
    <cfRule type="cellIs" dxfId="2010" priority="2303" operator="greaterThanOrEqual">
      <formula>1475</formula>
    </cfRule>
    <cfRule type="cellIs" dxfId="2009" priority="2304" operator="greaterThanOrEqual">
      <formula>1450</formula>
    </cfRule>
    <cfRule type="cellIs" dxfId="2008" priority="2305" operator="greaterThanOrEqual">
      <formula>1400</formula>
    </cfRule>
  </conditionalFormatting>
  <conditionalFormatting sqref="K48:K49">
    <cfRule type="cellIs" dxfId="2007" priority="2297" operator="greaterThan">
      <formula>10000</formula>
    </cfRule>
    <cfRule type="cellIs" dxfId="2006" priority="2298" operator="greaterThanOrEqual">
      <formula>1500</formula>
    </cfRule>
    <cfRule type="cellIs" dxfId="2005" priority="2299" operator="greaterThanOrEqual">
      <formula>1450</formula>
    </cfRule>
    <cfRule type="cellIs" dxfId="2004" priority="2300" operator="greaterThan">
      <formula>1400</formula>
    </cfRule>
  </conditionalFormatting>
  <conditionalFormatting sqref="K48:K49">
    <cfRule type="cellIs" dxfId="2003" priority="2292" operator="greaterThan">
      <formula>10000</formula>
    </cfRule>
    <cfRule type="cellIs" dxfId="2002" priority="2293" operator="greaterThanOrEqual">
      <formula>1500</formula>
    </cfRule>
    <cfRule type="cellIs" dxfId="2001" priority="2294" operator="greaterThanOrEqual">
      <formula>1475</formula>
    </cfRule>
    <cfRule type="cellIs" dxfId="2000" priority="2295" operator="greaterThanOrEqual">
      <formula>1450</formula>
    </cfRule>
    <cfRule type="cellIs" dxfId="1999" priority="2296" operator="greaterThanOrEqual">
      <formula>1400</formula>
    </cfRule>
  </conditionalFormatting>
  <conditionalFormatting sqref="K48:K49">
    <cfRule type="cellIs" dxfId="1998" priority="2288" operator="greaterThan">
      <formula>10000</formula>
    </cfRule>
    <cfRule type="cellIs" dxfId="1997" priority="2289" operator="greaterThanOrEqual">
      <formula>1500</formula>
    </cfRule>
    <cfRule type="cellIs" dxfId="1996" priority="2290" operator="greaterThanOrEqual">
      <formula>1450</formula>
    </cfRule>
    <cfRule type="cellIs" dxfId="1995" priority="2291" operator="greaterThan">
      <formula>1400</formula>
    </cfRule>
  </conditionalFormatting>
  <conditionalFormatting sqref="K48:K49">
    <cfRule type="cellIs" dxfId="1994" priority="2283" operator="greaterThan">
      <formula>10000</formula>
    </cfRule>
    <cfRule type="cellIs" dxfId="1993" priority="2284" operator="greaterThanOrEqual">
      <formula>1500</formula>
    </cfRule>
    <cfRule type="cellIs" dxfId="1992" priority="2285" operator="greaterThanOrEqual">
      <formula>1475</formula>
    </cfRule>
    <cfRule type="cellIs" dxfId="1991" priority="2286" operator="greaterThanOrEqual">
      <formula>1450</formula>
    </cfRule>
    <cfRule type="cellIs" dxfId="1990" priority="2287" operator="greaterThanOrEqual">
      <formula>1400</formula>
    </cfRule>
  </conditionalFormatting>
  <conditionalFormatting sqref="J48:J49">
    <cfRule type="cellIs" dxfId="1989" priority="2282" operator="greaterThan">
      <formula>10000</formula>
    </cfRule>
  </conditionalFormatting>
  <conditionalFormatting sqref="J48:J49">
    <cfRule type="cellIs" dxfId="1988" priority="2276" operator="greaterThan">
      <formula>10000</formula>
    </cfRule>
    <cfRule type="cellIs" dxfId="1987" priority="2278" operator="greaterThanOrEqual">
      <formula>1550</formula>
    </cfRule>
    <cfRule type="cellIs" dxfId="1986" priority="2279" operator="greaterThanOrEqual">
      <formula>1525</formula>
    </cfRule>
    <cfRule type="cellIs" dxfId="1985" priority="2280" operator="greaterThanOrEqual">
      <formula>1475</formula>
    </cfRule>
    <cfRule type="cellIs" dxfId="1984" priority="2281" operator="greaterThanOrEqual">
      <formula>1400</formula>
    </cfRule>
  </conditionalFormatting>
  <conditionalFormatting sqref="J48:J49">
    <cfRule type="cellIs" dxfId="1983" priority="2277" operator="greaterThan">
      <formula>1600</formula>
    </cfRule>
  </conditionalFormatting>
  <conditionalFormatting sqref="I45">
    <cfRule type="cellIs" dxfId="1982" priority="2275" operator="greaterThan">
      <formula>10000</formula>
    </cfRule>
  </conditionalFormatting>
  <conditionalFormatting sqref="I45">
    <cfRule type="cellIs" dxfId="1981" priority="2269" operator="greaterThan">
      <formula>10000</formula>
    </cfRule>
    <cfRule type="cellIs" dxfId="1980" priority="2271" operator="greaterThanOrEqual">
      <formula>1550</formula>
    </cfRule>
    <cfRule type="cellIs" dxfId="1979" priority="2272" operator="greaterThanOrEqual">
      <formula>1525</formula>
    </cfRule>
    <cfRule type="cellIs" dxfId="1978" priority="2273" operator="greaterThanOrEqual">
      <formula>1475</formula>
    </cfRule>
    <cfRule type="cellIs" dxfId="1977" priority="2274" operator="greaterThanOrEqual">
      <formula>1400</formula>
    </cfRule>
  </conditionalFormatting>
  <conditionalFormatting sqref="I45">
    <cfRule type="cellIs" dxfId="1976" priority="2270" operator="greaterThan">
      <formula>1600</formula>
    </cfRule>
  </conditionalFormatting>
  <conditionalFormatting sqref="K45">
    <cfRule type="cellIs" dxfId="1975" priority="2265" operator="greaterThan">
      <formula>10000</formula>
    </cfRule>
    <cfRule type="cellIs" dxfId="1974" priority="2266" operator="greaterThanOrEqual">
      <formula>1500</formula>
    </cfRule>
    <cfRule type="cellIs" dxfId="1973" priority="2267" operator="greaterThanOrEqual">
      <formula>1450</formula>
    </cfRule>
    <cfRule type="cellIs" dxfId="1972" priority="2268" operator="greaterThan">
      <formula>1400</formula>
    </cfRule>
  </conditionalFormatting>
  <conditionalFormatting sqref="K45">
    <cfRule type="cellIs" dxfId="1971" priority="2260" operator="greaterThan">
      <formula>10000</formula>
    </cfRule>
    <cfRule type="cellIs" dxfId="1970" priority="2261" operator="greaterThanOrEqual">
      <formula>1500</formula>
    </cfRule>
    <cfRule type="cellIs" dxfId="1969" priority="2262" operator="greaterThanOrEqual">
      <formula>1475</formula>
    </cfRule>
    <cfRule type="cellIs" dxfId="1968" priority="2263" operator="greaterThanOrEqual">
      <formula>1450</formula>
    </cfRule>
    <cfRule type="cellIs" dxfId="1967" priority="2264" operator="greaterThanOrEqual">
      <formula>1400</formula>
    </cfRule>
  </conditionalFormatting>
  <conditionalFormatting sqref="K45">
    <cfRule type="cellIs" dxfId="1966" priority="2256" operator="greaterThan">
      <formula>10000</formula>
    </cfRule>
    <cfRule type="cellIs" dxfId="1965" priority="2257" operator="greaterThanOrEqual">
      <formula>1500</formula>
    </cfRule>
    <cfRule type="cellIs" dxfId="1964" priority="2258" operator="greaterThanOrEqual">
      <formula>1450</formula>
    </cfRule>
    <cfRule type="cellIs" dxfId="1963" priority="2259" operator="greaterThan">
      <formula>1400</formula>
    </cfRule>
  </conditionalFormatting>
  <conditionalFormatting sqref="K45">
    <cfRule type="cellIs" dxfId="1962" priority="2251" operator="greaterThan">
      <formula>10000</formula>
    </cfRule>
    <cfRule type="cellIs" dxfId="1961" priority="2252" operator="greaterThanOrEqual">
      <formula>1500</formula>
    </cfRule>
    <cfRule type="cellIs" dxfId="1960" priority="2253" operator="greaterThanOrEqual">
      <formula>1475</formula>
    </cfRule>
    <cfRule type="cellIs" dxfId="1959" priority="2254" operator="greaterThanOrEqual">
      <formula>1450</formula>
    </cfRule>
    <cfRule type="cellIs" dxfId="1958" priority="2255" operator="greaterThanOrEqual">
      <formula>1400</formula>
    </cfRule>
  </conditionalFormatting>
  <conditionalFormatting sqref="K45">
    <cfRule type="cellIs" dxfId="1957" priority="2247" operator="greaterThan">
      <formula>10000</formula>
    </cfRule>
    <cfRule type="cellIs" dxfId="1956" priority="2248" operator="greaterThanOrEqual">
      <formula>1500</formula>
    </cfRule>
    <cfRule type="cellIs" dxfId="1955" priority="2249" operator="greaterThanOrEqual">
      <formula>1450</formula>
    </cfRule>
    <cfRule type="cellIs" dxfId="1954" priority="2250" operator="greaterThan">
      <formula>1400</formula>
    </cfRule>
  </conditionalFormatting>
  <conditionalFormatting sqref="K45">
    <cfRule type="cellIs" dxfId="1953" priority="2242" operator="greaterThan">
      <formula>10000</formula>
    </cfRule>
    <cfRule type="cellIs" dxfId="1952" priority="2243" operator="greaterThanOrEqual">
      <formula>1500</formula>
    </cfRule>
    <cfRule type="cellIs" dxfId="1951" priority="2244" operator="greaterThanOrEqual">
      <formula>1475</formula>
    </cfRule>
    <cfRule type="cellIs" dxfId="1950" priority="2245" operator="greaterThanOrEqual">
      <formula>1450</formula>
    </cfRule>
    <cfRule type="cellIs" dxfId="1949" priority="2246" operator="greaterThanOrEqual">
      <formula>1400</formula>
    </cfRule>
  </conditionalFormatting>
  <conditionalFormatting sqref="J45">
    <cfRule type="cellIs" dxfId="1948" priority="2241" operator="greaterThan">
      <formula>10000</formula>
    </cfRule>
  </conditionalFormatting>
  <conditionalFormatting sqref="J45">
    <cfRule type="cellIs" dxfId="1947" priority="2235" operator="greaterThan">
      <formula>10000</formula>
    </cfRule>
    <cfRule type="cellIs" dxfId="1946" priority="2237" operator="greaterThanOrEqual">
      <formula>1550</formula>
    </cfRule>
    <cfRule type="cellIs" dxfId="1945" priority="2238" operator="greaterThanOrEqual">
      <formula>1525</formula>
    </cfRule>
    <cfRule type="cellIs" dxfId="1944" priority="2239" operator="greaterThanOrEqual">
      <formula>1475</formula>
    </cfRule>
    <cfRule type="cellIs" dxfId="1943" priority="2240" operator="greaterThanOrEqual">
      <formula>1400</formula>
    </cfRule>
  </conditionalFormatting>
  <conditionalFormatting sqref="J45">
    <cfRule type="cellIs" dxfId="1942" priority="2236" operator="greaterThan">
      <formula>1600</formula>
    </cfRule>
  </conditionalFormatting>
  <conditionalFormatting sqref="I39">
    <cfRule type="cellIs" dxfId="1941" priority="2234" operator="greaterThan">
      <formula>10000</formula>
    </cfRule>
  </conditionalFormatting>
  <conditionalFormatting sqref="I39">
    <cfRule type="cellIs" dxfId="1940" priority="2228" operator="greaterThan">
      <formula>10000</formula>
    </cfRule>
    <cfRule type="cellIs" dxfId="1939" priority="2230" operator="greaterThanOrEqual">
      <formula>1550</formula>
    </cfRule>
    <cfRule type="cellIs" dxfId="1938" priority="2231" operator="greaterThanOrEqual">
      <formula>1525</formula>
    </cfRule>
    <cfRule type="cellIs" dxfId="1937" priority="2232" operator="greaterThanOrEqual">
      <formula>1475</formula>
    </cfRule>
    <cfRule type="cellIs" dxfId="1936" priority="2233" operator="greaterThanOrEqual">
      <formula>1400</formula>
    </cfRule>
  </conditionalFormatting>
  <conditionalFormatting sqref="I39">
    <cfRule type="cellIs" dxfId="1935" priority="2229" operator="greaterThan">
      <formula>1600</formula>
    </cfRule>
  </conditionalFormatting>
  <conditionalFormatting sqref="K39">
    <cfRule type="cellIs" dxfId="1934" priority="2224" operator="greaterThan">
      <formula>10000</formula>
    </cfRule>
    <cfRule type="cellIs" dxfId="1933" priority="2225" operator="greaterThanOrEqual">
      <formula>1500</formula>
    </cfRule>
    <cfRule type="cellIs" dxfId="1932" priority="2226" operator="greaterThanOrEqual">
      <formula>1450</formula>
    </cfRule>
    <cfRule type="cellIs" dxfId="1931" priority="2227" operator="greaterThan">
      <formula>1400</formula>
    </cfRule>
  </conditionalFormatting>
  <conditionalFormatting sqref="K39">
    <cfRule type="cellIs" dxfId="1930" priority="2219" operator="greaterThan">
      <formula>10000</formula>
    </cfRule>
    <cfRule type="cellIs" dxfId="1929" priority="2220" operator="greaterThanOrEqual">
      <formula>1500</formula>
    </cfRule>
    <cfRule type="cellIs" dxfId="1928" priority="2221" operator="greaterThanOrEqual">
      <formula>1475</formula>
    </cfRule>
    <cfRule type="cellIs" dxfId="1927" priority="2222" operator="greaterThanOrEqual">
      <formula>1450</formula>
    </cfRule>
    <cfRule type="cellIs" dxfId="1926" priority="2223" operator="greaterThanOrEqual">
      <formula>1400</formula>
    </cfRule>
  </conditionalFormatting>
  <conditionalFormatting sqref="K39">
    <cfRule type="cellIs" dxfId="1925" priority="2215" operator="greaterThan">
      <formula>10000</formula>
    </cfRule>
    <cfRule type="cellIs" dxfId="1924" priority="2216" operator="greaterThanOrEqual">
      <formula>1500</formula>
    </cfRule>
    <cfRule type="cellIs" dxfId="1923" priority="2217" operator="greaterThanOrEqual">
      <formula>1450</formula>
    </cfRule>
    <cfRule type="cellIs" dxfId="1922" priority="2218" operator="greaterThan">
      <formula>1400</formula>
    </cfRule>
  </conditionalFormatting>
  <conditionalFormatting sqref="K39">
    <cfRule type="cellIs" dxfId="1921" priority="2210" operator="greaterThan">
      <formula>10000</formula>
    </cfRule>
    <cfRule type="cellIs" dxfId="1920" priority="2211" operator="greaterThanOrEqual">
      <formula>1500</formula>
    </cfRule>
    <cfRule type="cellIs" dxfId="1919" priority="2212" operator="greaterThanOrEqual">
      <formula>1475</formula>
    </cfRule>
    <cfRule type="cellIs" dxfId="1918" priority="2213" operator="greaterThanOrEqual">
      <formula>1450</formula>
    </cfRule>
    <cfRule type="cellIs" dxfId="1917" priority="2214" operator="greaterThanOrEqual">
      <formula>1400</formula>
    </cfRule>
  </conditionalFormatting>
  <conditionalFormatting sqref="K39">
    <cfRule type="cellIs" dxfId="1916" priority="2206" operator="greaterThan">
      <formula>10000</formula>
    </cfRule>
    <cfRule type="cellIs" dxfId="1915" priority="2207" operator="greaterThanOrEqual">
      <formula>1500</formula>
    </cfRule>
    <cfRule type="cellIs" dxfId="1914" priority="2208" operator="greaterThanOrEqual">
      <formula>1450</formula>
    </cfRule>
    <cfRule type="cellIs" dxfId="1913" priority="2209" operator="greaterThan">
      <formula>1400</formula>
    </cfRule>
  </conditionalFormatting>
  <conditionalFormatting sqref="K39">
    <cfRule type="cellIs" dxfId="1912" priority="2201" operator="greaterThan">
      <formula>10000</formula>
    </cfRule>
    <cfRule type="cellIs" dxfId="1911" priority="2202" operator="greaterThanOrEqual">
      <formula>1500</formula>
    </cfRule>
    <cfRule type="cellIs" dxfId="1910" priority="2203" operator="greaterThanOrEqual">
      <formula>1475</formula>
    </cfRule>
    <cfRule type="cellIs" dxfId="1909" priority="2204" operator="greaterThanOrEqual">
      <formula>1450</formula>
    </cfRule>
    <cfRule type="cellIs" dxfId="1908" priority="2205" operator="greaterThanOrEqual">
      <formula>1400</formula>
    </cfRule>
  </conditionalFormatting>
  <conditionalFormatting sqref="J39">
    <cfRule type="cellIs" dxfId="1907" priority="2200" operator="greaterThan">
      <formula>10000</formula>
    </cfRule>
  </conditionalFormatting>
  <conditionalFormatting sqref="J39">
    <cfRule type="cellIs" dxfId="1906" priority="2194" operator="greaterThan">
      <formula>10000</formula>
    </cfRule>
    <cfRule type="cellIs" dxfId="1905" priority="2196" operator="greaterThanOrEqual">
      <formula>1550</formula>
    </cfRule>
    <cfRule type="cellIs" dxfId="1904" priority="2197" operator="greaterThanOrEqual">
      <formula>1525</formula>
    </cfRule>
    <cfRule type="cellIs" dxfId="1903" priority="2198" operator="greaterThanOrEqual">
      <formula>1475</formula>
    </cfRule>
    <cfRule type="cellIs" dxfId="1902" priority="2199" operator="greaterThanOrEqual">
      <formula>1400</formula>
    </cfRule>
  </conditionalFormatting>
  <conditionalFormatting sqref="J39">
    <cfRule type="cellIs" dxfId="1901" priority="2195" operator="greaterThan">
      <formula>1600</formula>
    </cfRule>
  </conditionalFormatting>
  <conditionalFormatting sqref="I37">
    <cfRule type="cellIs" dxfId="1900" priority="2193" operator="greaterThan">
      <formula>10000</formula>
    </cfRule>
  </conditionalFormatting>
  <conditionalFormatting sqref="I37">
    <cfRule type="cellIs" dxfId="1899" priority="2187" operator="greaterThan">
      <formula>10000</formula>
    </cfRule>
    <cfRule type="cellIs" dxfId="1898" priority="2189" operator="greaterThanOrEqual">
      <formula>1550</formula>
    </cfRule>
    <cfRule type="cellIs" dxfId="1897" priority="2190" operator="greaterThanOrEqual">
      <formula>1525</formula>
    </cfRule>
    <cfRule type="cellIs" dxfId="1896" priority="2191" operator="greaterThanOrEqual">
      <formula>1475</formula>
    </cfRule>
    <cfRule type="cellIs" dxfId="1895" priority="2192" operator="greaterThanOrEqual">
      <formula>1400</formula>
    </cfRule>
  </conditionalFormatting>
  <conditionalFormatting sqref="I37">
    <cfRule type="cellIs" dxfId="1894" priority="2188" operator="greaterThan">
      <formula>1600</formula>
    </cfRule>
  </conditionalFormatting>
  <conditionalFormatting sqref="K37">
    <cfRule type="cellIs" dxfId="1893" priority="2183" operator="greaterThan">
      <formula>10000</formula>
    </cfRule>
    <cfRule type="cellIs" dxfId="1892" priority="2184" operator="greaterThanOrEqual">
      <formula>1500</formula>
    </cfRule>
    <cfRule type="cellIs" dxfId="1891" priority="2185" operator="greaterThanOrEqual">
      <formula>1450</formula>
    </cfRule>
    <cfRule type="cellIs" dxfId="1890" priority="2186" operator="greaterThan">
      <formula>1400</formula>
    </cfRule>
  </conditionalFormatting>
  <conditionalFormatting sqref="K37">
    <cfRule type="cellIs" dxfId="1889" priority="2178" operator="greaterThan">
      <formula>10000</formula>
    </cfRule>
    <cfRule type="cellIs" dxfId="1888" priority="2179" operator="greaterThanOrEqual">
      <formula>1500</formula>
    </cfRule>
    <cfRule type="cellIs" dxfId="1887" priority="2180" operator="greaterThanOrEqual">
      <formula>1475</formula>
    </cfRule>
    <cfRule type="cellIs" dxfId="1886" priority="2181" operator="greaterThanOrEqual">
      <formula>1450</formula>
    </cfRule>
    <cfRule type="cellIs" dxfId="1885" priority="2182" operator="greaterThanOrEqual">
      <formula>1400</formula>
    </cfRule>
  </conditionalFormatting>
  <conditionalFormatting sqref="K37">
    <cfRule type="cellIs" dxfId="1884" priority="2174" operator="greaterThan">
      <formula>10000</formula>
    </cfRule>
    <cfRule type="cellIs" dxfId="1883" priority="2175" operator="greaterThanOrEqual">
      <formula>1500</formula>
    </cfRule>
    <cfRule type="cellIs" dxfId="1882" priority="2176" operator="greaterThanOrEqual">
      <formula>1450</formula>
    </cfRule>
    <cfRule type="cellIs" dxfId="1881" priority="2177" operator="greaterThan">
      <formula>1400</formula>
    </cfRule>
  </conditionalFormatting>
  <conditionalFormatting sqref="K37">
    <cfRule type="cellIs" dxfId="1880" priority="2169" operator="greaterThan">
      <formula>10000</formula>
    </cfRule>
    <cfRule type="cellIs" dxfId="1879" priority="2170" operator="greaterThanOrEqual">
      <formula>1500</formula>
    </cfRule>
    <cfRule type="cellIs" dxfId="1878" priority="2171" operator="greaterThanOrEqual">
      <formula>1475</formula>
    </cfRule>
    <cfRule type="cellIs" dxfId="1877" priority="2172" operator="greaterThanOrEqual">
      <formula>1450</formula>
    </cfRule>
    <cfRule type="cellIs" dxfId="1876" priority="2173" operator="greaterThanOrEqual">
      <formula>1400</formula>
    </cfRule>
  </conditionalFormatting>
  <conditionalFormatting sqref="K37">
    <cfRule type="cellIs" dxfId="1875" priority="2165" operator="greaterThan">
      <formula>10000</formula>
    </cfRule>
    <cfRule type="cellIs" dxfId="1874" priority="2166" operator="greaterThanOrEqual">
      <formula>1500</formula>
    </cfRule>
    <cfRule type="cellIs" dxfId="1873" priority="2167" operator="greaterThanOrEqual">
      <formula>1450</formula>
    </cfRule>
    <cfRule type="cellIs" dxfId="1872" priority="2168" operator="greaterThan">
      <formula>1400</formula>
    </cfRule>
  </conditionalFormatting>
  <conditionalFormatting sqref="K37">
    <cfRule type="cellIs" dxfId="1871" priority="2160" operator="greaterThan">
      <formula>10000</formula>
    </cfRule>
    <cfRule type="cellIs" dxfId="1870" priority="2161" operator="greaterThanOrEqual">
      <formula>1500</formula>
    </cfRule>
    <cfRule type="cellIs" dxfId="1869" priority="2162" operator="greaterThanOrEqual">
      <formula>1475</formula>
    </cfRule>
    <cfRule type="cellIs" dxfId="1868" priority="2163" operator="greaterThanOrEqual">
      <formula>1450</formula>
    </cfRule>
    <cfRule type="cellIs" dxfId="1867" priority="2164" operator="greaterThanOrEqual">
      <formula>1400</formula>
    </cfRule>
  </conditionalFormatting>
  <conditionalFormatting sqref="J37">
    <cfRule type="cellIs" dxfId="1866" priority="2159" operator="greaterThan">
      <formula>10000</formula>
    </cfRule>
  </conditionalFormatting>
  <conditionalFormatting sqref="J37">
    <cfRule type="cellIs" dxfId="1865" priority="2153" operator="greaterThan">
      <formula>10000</formula>
    </cfRule>
    <cfRule type="cellIs" dxfId="1864" priority="2155" operator="greaterThanOrEqual">
      <formula>1550</formula>
    </cfRule>
    <cfRule type="cellIs" dxfId="1863" priority="2156" operator="greaterThanOrEqual">
      <formula>1525</formula>
    </cfRule>
    <cfRule type="cellIs" dxfId="1862" priority="2157" operator="greaterThanOrEqual">
      <formula>1475</formula>
    </cfRule>
    <cfRule type="cellIs" dxfId="1861" priority="2158" operator="greaterThanOrEqual">
      <formula>1400</formula>
    </cfRule>
  </conditionalFormatting>
  <conditionalFormatting sqref="J37">
    <cfRule type="cellIs" dxfId="1860" priority="2154" operator="greaterThan">
      <formula>1600</formula>
    </cfRule>
  </conditionalFormatting>
  <conditionalFormatting sqref="I36">
    <cfRule type="cellIs" dxfId="1859" priority="2152" operator="greaterThan">
      <formula>10000</formula>
    </cfRule>
  </conditionalFormatting>
  <conditionalFormatting sqref="I36">
    <cfRule type="cellIs" dxfId="1858" priority="2146" operator="greaterThan">
      <formula>10000</formula>
    </cfRule>
    <cfRule type="cellIs" dxfId="1857" priority="2148" operator="greaterThanOrEqual">
      <formula>1550</formula>
    </cfRule>
    <cfRule type="cellIs" dxfId="1856" priority="2149" operator="greaterThanOrEqual">
      <formula>1525</formula>
    </cfRule>
    <cfRule type="cellIs" dxfId="1855" priority="2150" operator="greaterThanOrEqual">
      <formula>1475</formula>
    </cfRule>
    <cfRule type="cellIs" dxfId="1854" priority="2151" operator="greaterThanOrEqual">
      <formula>1400</formula>
    </cfRule>
  </conditionalFormatting>
  <conditionalFormatting sqref="I36">
    <cfRule type="cellIs" dxfId="1853" priority="2147" operator="greaterThan">
      <formula>1600</formula>
    </cfRule>
  </conditionalFormatting>
  <conditionalFormatting sqref="K36">
    <cfRule type="cellIs" dxfId="1852" priority="2142" operator="greaterThan">
      <formula>10000</formula>
    </cfRule>
    <cfRule type="cellIs" dxfId="1851" priority="2143" operator="greaterThanOrEqual">
      <formula>1500</formula>
    </cfRule>
    <cfRule type="cellIs" dxfId="1850" priority="2144" operator="greaterThanOrEqual">
      <formula>1450</formula>
    </cfRule>
    <cfRule type="cellIs" dxfId="1849" priority="2145" operator="greaterThan">
      <formula>1400</formula>
    </cfRule>
  </conditionalFormatting>
  <conditionalFormatting sqref="K36">
    <cfRule type="cellIs" dxfId="1848" priority="2137" operator="greaterThan">
      <formula>10000</formula>
    </cfRule>
    <cfRule type="cellIs" dxfId="1847" priority="2138" operator="greaterThanOrEqual">
      <formula>1500</formula>
    </cfRule>
    <cfRule type="cellIs" dxfId="1846" priority="2139" operator="greaterThanOrEqual">
      <formula>1475</formula>
    </cfRule>
    <cfRule type="cellIs" dxfId="1845" priority="2140" operator="greaterThanOrEqual">
      <formula>1450</formula>
    </cfRule>
    <cfRule type="cellIs" dxfId="1844" priority="2141" operator="greaterThanOrEqual">
      <formula>1400</formula>
    </cfRule>
  </conditionalFormatting>
  <conditionalFormatting sqref="K36">
    <cfRule type="cellIs" dxfId="1843" priority="2133" operator="greaterThan">
      <formula>10000</formula>
    </cfRule>
    <cfRule type="cellIs" dxfId="1842" priority="2134" operator="greaterThanOrEqual">
      <formula>1500</formula>
    </cfRule>
    <cfRule type="cellIs" dxfId="1841" priority="2135" operator="greaterThanOrEqual">
      <formula>1450</formula>
    </cfRule>
    <cfRule type="cellIs" dxfId="1840" priority="2136" operator="greaterThan">
      <formula>1400</formula>
    </cfRule>
  </conditionalFormatting>
  <conditionalFormatting sqref="K36">
    <cfRule type="cellIs" dxfId="1839" priority="2128" operator="greaterThan">
      <formula>10000</formula>
    </cfRule>
    <cfRule type="cellIs" dxfId="1838" priority="2129" operator="greaterThanOrEqual">
      <formula>1500</formula>
    </cfRule>
    <cfRule type="cellIs" dxfId="1837" priority="2130" operator="greaterThanOrEqual">
      <formula>1475</formula>
    </cfRule>
    <cfRule type="cellIs" dxfId="1836" priority="2131" operator="greaterThanOrEqual">
      <formula>1450</formula>
    </cfRule>
    <cfRule type="cellIs" dxfId="1835" priority="2132" operator="greaterThanOrEqual">
      <formula>1400</formula>
    </cfRule>
  </conditionalFormatting>
  <conditionalFormatting sqref="K36">
    <cfRule type="cellIs" dxfId="1834" priority="2124" operator="greaterThan">
      <formula>10000</formula>
    </cfRule>
    <cfRule type="cellIs" dxfId="1833" priority="2125" operator="greaterThanOrEqual">
      <formula>1500</formula>
    </cfRule>
    <cfRule type="cellIs" dxfId="1832" priority="2126" operator="greaterThanOrEqual">
      <formula>1450</formula>
    </cfRule>
    <cfRule type="cellIs" dxfId="1831" priority="2127" operator="greaterThan">
      <formula>1400</formula>
    </cfRule>
  </conditionalFormatting>
  <conditionalFormatting sqref="K36">
    <cfRule type="cellIs" dxfId="1830" priority="2119" operator="greaterThan">
      <formula>10000</formula>
    </cfRule>
    <cfRule type="cellIs" dxfId="1829" priority="2120" operator="greaterThanOrEqual">
      <formula>1500</formula>
    </cfRule>
    <cfRule type="cellIs" dxfId="1828" priority="2121" operator="greaterThanOrEqual">
      <formula>1475</formula>
    </cfRule>
    <cfRule type="cellIs" dxfId="1827" priority="2122" operator="greaterThanOrEqual">
      <formula>1450</formula>
    </cfRule>
    <cfRule type="cellIs" dxfId="1826" priority="2123" operator="greaterThanOrEqual">
      <formula>1400</formula>
    </cfRule>
  </conditionalFormatting>
  <conditionalFormatting sqref="J36">
    <cfRule type="cellIs" dxfId="1825" priority="2118" operator="greaterThan">
      <formula>10000</formula>
    </cfRule>
  </conditionalFormatting>
  <conditionalFormatting sqref="J36">
    <cfRule type="cellIs" dxfId="1824" priority="2112" operator="greaterThan">
      <formula>10000</formula>
    </cfRule>
    <cfRule type="cellIs" dxfId="1823" priority="2114" operator="greaterThanOrEqual">
      <formula>1550</formula>
    </cfRule>
    <cfRule type="cellIs" dxfId="1822" priority="2115" operator="greaterThanOrEqual">
      <formula>1525</formula>
    </cfRule>
    <cfRule type="cellIs" dxfId="1821" priority="2116" operator="greaterThanOrEqual">
      <formula>1475</formula>
    </cfRule>
    <cfRule type="cellIs" dxfId="1820" priority="2117" operator="greaterThanOrEqual">
      <formula>1400</formula>
    </cfRule>
  </conditionalFormatting>
  <conditionalFormatting sqref="J36">
    <cfRule type="cellIs" dxfId="1819" priority="2113" operator="greaterThan">
      <formula>1600</formula>
    </cfRule>
  </conditionalFormatting>
  <conditionalFormatting sqref="I35">
    <cfRule type="cellIs" dxfId="1818" priority="2111" operator="greaterThan">
      <formula>10000</formula>
    </cfRule>
  </conditionalFormatting>
  <conditionalFormatting sqref="I35">
    <cfRule type="cellIs" dxfId="1817" priority="2105" operator="greaterThan">
      <formula>10000</formula>
    </cfRule>
    <cfRule type="cellIs" dxfId="1816" priority="2107" operator="greaterThanOrEqual">
      <formula>1550</formula>
    </cfRule>
    <cfRule type="cellIs" dxfId="1815" priority="2108" operator="greaterThanOrEqual">
      <formula>1525</formula>
    </cfRule>
    <cfRule type="cellIs" dxfId="1814" priority="2109" operator="greaterThanOrEqual">
      <formula>1475</formula>
    </cfRule>
    <cfRule type="cellIs" dxfId="1813" priority="2110" operator="greaterThanOrEqual">
      <formula>1400</formula>
    </cfRule>
  </conditionalFormatting>
  <conditionalFormatting sqref="I35">
    <cfRule type="cellIs" dxfId="1812" priority="2106" operator="greaterThan">
      <formula>1600</formula>
    </cfRule>
  </conditionalFormatting>
  <conditionalFormatting sqref="K35">
    <cfRule type="cellIs" dxfId="1811" priority="2101" operator="greaterThan">
      <formula>10000</formula>
    </cfRule>
    <cfRule type="cellIs" dxfId="1810" priority="2102" operator="greaterThanOrEqual">
      <formula>1500</formula>
    </cfRule>
    <cfRule type="cellIs" dxfId="1809" priority="2103" operator="greaterThanOrEqual">
      <formula>1450</formula>
    </cfRule>
    <cfRule type="cellIs" dxfId="1808" priority="2104" operator="greaterThan">
      <formula>1400</formula>
    </cfRule>
  </conditionalFormatting>
  <conditionalFormatting sqref="K35">
    <cfRule type="cellIs" dxfId="1807" priority="2096" operator="greaterThan">
      <formula>10000</formula>
    </cfRule>
    <cfRule type="cellIs" dxfId="1806" priority="2097" operator="greaterThanOrEqual">
      <formula>1500</formula>
    </cfRule>
    <cfRule type="cellIs" dxfId="1805" priority="2098" operator="greaterThanOrEqual">
      <formula>1475</formula>
    </cfRule>
    <cfRule type="cellIs" dxfId="1804" priority="2099" operator="greaterThanOrEqual">
      <formula>1450</formula>
    </cfRule>
    <cfRule type="cellIs" dxfId="1803" priority="2100" operator="greaterThanOrEqual">
      <formula>1400</formula>
    </cfRule>
  </conditionalFormatting>
  <conditionalFormatting sqref="K35">
    <cfRule type="cellIs" dxfId="1802" priority="2092" operator="greaterThan">
      <formula>10000</formula>
    </cfRule>
    <cfRule type="cellIs" dxfId="1801" priority="2093" operator="greaterThanOrEqual">
      <formula>1500</formula>
    </cfRule>
    <cfRule type="cellIs" dxfId="1800" priority="2094" operator="greaterThanOrEqual">
      <formula>1450</formula>
    </cfRule>
    <cfRule type="cellIs" dxfId="1799" priority="2095" operator="greaterThan">
      <formula>1400</formula>
    </cfRule>
  </conditionalFormatting>
  <conditionalFormatting sqref="K35">
    <cfRule type="cellIs" dxfId="1798" priority="2087" operator="greaterThan">
      <formula>10000</formula>
    </cfRule>
    <cfRule type="cellIs" dxfId="1797" priority="2088" operator="greaterThanOrEqual">
      <formula>1500</formula>
    </cfRule>
    <cfRule type="cellIs" dxfId="1796" priority="2089" operator="greaterThanOrEqual">
      <formula>1475</formula>
    </cfRule>
    <cfRule type="cellIs" dxfId="1795" priority="2090" operator="greaterThanOrEqual">
      <formula>1450</formula>
    </cfRule>
    <cfRule type="cellIs" dxfId="1794" priority="2091" operator="greaterThanOrEqual">
      <formula>1400</formula>
    </cfRule>
  </conditionalFormatting>
  <conditionalFormatting sqref="K35">
    <cfRule type="cellIs" dxfId="1793" priority="2083" operator="greaterThan">
      <formula>10000</formula>
    </cfRule>
    <cfRule type="cellIs" dxfId="1792" priority="2084" operator="greaterThanOrEqual">
      <formula>1500</formula>
    </cfRule>
    <cfRule type="cellIs" dxfId="1791" priority="2085" operator="greaterThanOrEqual">
      <formula>1450</formula>
    </cfRule>
    <cfRule type="cellIs" dxfId="1790" priority="2086" operator="greaterThan">
      <formula>1400</formula>
    </cfRule>
  </conditionalFormatting>
  <conditionalFormatting sqref="K35">
    <cfRule type="cellIs" dxfId="1789" priority="2078" operator="greaterThan">
      <formula>10000</formula>
    </cfRule>
    <cfRule type="cellIs" dxfId="1788" priority="2079" operator="greaterThanOrEqual">
      <formula>1500</formula>
    </cfRule>
    <cfRule type="cellIs" dxfId="1787" priority="2080" operator="greaterThanOrEqual">
      <formula>1475</formula>
    </cfRule>
    <cfRule type="cellIs" dxfId="1786" priority="2081" operator="greaterThanOrEqual">
      <formula>1450</formula>
    </cfRule>
    <cfRule type="cellIs" dxfId="1785" priority="2082" operator="greaterThanOrEqual">
      <formula>1400</formula>
    </cfRule>
  </conditionalFormatting>
  <conditionalFormatting sqref="J35">
    <cfRule type="cellIs" dxfId="1784" priority="2077" operator="greaterThan">
      <formula>10000</formula>
    </cfRule>
  </conditionalFormatting>
  <conditionalFormatting sqref="J35">
    <cfRule type="cellIs" dxfId="1783" priority="2071" operator="greaterThan">
      <formula>10000</formula>
    </cfRule>
    <cfRule type="cellIs" dxfId="1782" priority="2073" operator="greaterThanOrEqual">
      <formula>1550</formula>
    </cfRule>
    <cfRule type="cellIs" dxfId="1781" priority="2074" operator="greaterThanOrEqual">
      <formula>1525</formula>
    </cfRule>
    <cfRule type="cellIs" dxfId="1780" priority="2075" operator="greaterThanOrEqual">
      <formula>1475</formula>
    </cfRule>
    <cfRule type="cellIs" dxfId="1779" priority="2076" operator="greaterThanOrEqual">
      <formula>1400</formula>
    </cfRule>
  </conditionalFormatting>
  <conditionalFormatting sqref="J35">
    <cfRule type="cellIs" dxfId="1778" priority="2072" operator="greaterThan">
      <formula>1600</formula>
    </cfRule>
  </conditionalFormatting>
  <conditionalFormatting sqref="I34">
    <cfRule type="cellIs" dxfId="1777" priority="2070" operator="greaterThan">
      <formula>10000</formula>
    </cfRule>
  </conditionalFormatting>
  <conditionalFormatting sqref="I34">
    <cfRule type="cellIs" dxfId="1776" priority="2064" operator="greaterThan">
      <formula>10000</formula>
    </cfRule>
    <cfRule type="cellIs" dxfId="1775" priority="2066" operator="greaterThanOrEqual">
      <formula>1550</formula>
    </cfRule>
    <cfRule type="cellIs" dxfId="1774" priority="2067" operator="greaterThanOrEqual">
      <formula>1525</formula>
    </cfRule>
    <cfRule type="cellIs" dxfId="1773" priority="2068" operator="greaterThanOrEqual">
      <formula>1475</formula>
    </cfRule>
    <cfRule type="cellIs" dxfId="1772" priority="2069" operator="greaterThanOrEqual">
      <formula>1400</formula>
    </cfRule>
  </conditionalFormatting>
  <conditionalFormatting sqref="I34">
    <cfRule type="cellIs" dxfId="1771" priority="2065" operator="greaterThan">
      <formula>1600</formula>
    </cfRule>
  </conditionalFormatting>
  <conditionalFormatting sqref="K34">
    <cfRule type="cellIs" dxfId="1770" priority="2060" operator="greaterThan">
      <formula>10000</formula>
    </cfRule>
    <cfRule type="cellIs" dxfId="1769" priority="2061" operator="greaterThanOrEqual">
      <formula>1500</formula>
    </cfRule>
    <cfRule type="cellIs" dxfId="1768" priority="2062" operator="greaterThanOrEqual">
      <formula>1450</formula>
    </cfRule>
    <cfRule type="cellIs" dxfId="1767" priority="2063" operator="greaterThan">
      <formula>1400</formula>
    </cfRule>
  </conditionalFormatting>
  <conditionalFormatting sqref="K34">
    <cfRule type="cellIs" dxfId="1766" priority="2055" operator="greaterThan">
      <formula>10000</formula>
    </cfRule>
    <cfRule type="cellIs" dxfId="1765" priority="2056" operator="greaterThanOrEqual">
      <formula>1500</formula>
    </cfRule>
    <cfRule type="cellIs" dxfId="1764" priority="2057" operator="greaterThanOrEqual">
      <formula>1475</formula>
    </cfRule>
    <cfRule type="cellIs" dxfId="1763" priority="2058" operator="greaterThanOrEqual">
      <formula>1450</formula>
    </cfRule>
    <cfRule type="cellIs" dxfId="1762" priority="2059" operator="greaterThanOrEqual">
      <formula>1400</formula>
    </cfRule>
  </conditionalFormatting>
  <conditionalFormatting sqref="K34">
    <cfRule type="cellIs" dxfId="1761" priority="2051" operator="greaterThan">
      <formula>10000</formula>
    </cfRule>
    <cfRule type="cellIs" dxfId="1760" priority="2052" operator="greaterThanOrEqual">
      <formula>1500</formula>
    </cfRule>
    <cfRule type="cellIs" dxfId="1759" priority="2053" operator="greaterThanOrEqual">
      <formula>1450</formula>
    </cfRule>
    <cfRule type="cellIs" dxfId="1758" priority="2054" operator="greaterThan">
      <formula>1400</formula>
    </cfRule>
  </conditionalFormatting>
  <conditionalFormatting sqref="K34">
    <cfRule type="cellIs" dxfId="1757" priority="2046" operator="greaterThan">
      <formula>10000</formula>
    </cfRule>
    <cfRule type="cellIs" dxfId="1756" priority="2047" operator="greaterThanOrEqual">
      <formula>1500</formula>
    </cfRule>
    <cfRule type="cellIs" dxfId="1755" priority="2048" operator="greaterThanOrEqual">
      <formula>1475</formula>
    </cfRule>
    <cfRule type="cellIs" dxfId="1754" priority="2049" operator="greaterThanOrEqual">
      <formula>1450</formula>
    </cfRule>
    <cfRule type="cellIs" dxfId="1753" priority="2050" operator="greaterThanOrEqual">
      <formula>1400</formula>
    </cfRule>
  </conditionalFormatting>
  <conditionalFormatting sqref="K34">
    <cfRule type="cellIs" dxfId="1752" priority="2042" operator="greaterThan">
      <formula>10000</formula>
    </cfRule>
    <cfRule type="cellIs" dxfId="1751" priority="2043" operator="greaterThanOrEqual">
      <formula>1500</formula>
    </cfRule>
    <cfRule type="cellIs" dxfId="1750" priority="2044" operator="greaterThanOrEqual">
      <formula>1450</formula>
    </cfRule>
    <cfRule type="cellIs" dxfId="1749" priority="2045" operator="greaterThan">
      <formula>1400</formula>
    </cfRule>
  </conditionalFormatting>
  <conditionalFormatting sqref="K34">
    <cfRule type="cellIs" dxfId="1748" priority="2037" operator="greaterThan">
      <formula>10000</formula>
    </cfRule>
    <cfRule type="cellIs" dxfId="1747" priority="2038" operator="greaterThanOrEqual">
      <formula>1500</formula>
    </cfRule>
    <cfRule type="cellIs" dxfId="1746" priority="2039" operator="greaterThanOrEqual">
      <formula>1475</formula>
    </cfRule>
    <cfRule type="cellIs" dxfId="1745" priority="2040" operator="greaterThanOrEqual">
      <formula>1450</formula>
    </cfRule>
    <cfRule type="cellIs" dxfId="1744" priority="2041" operator="greaterThanOrEqual">
      <formula>1400</formula>
    </cfRule>
  </conditionalFormatting>
  <conditionalFormatting sqref="J34">
    <cfRule type="cellIs" dxfId="1743" priority="2036" operator="greaterThan">
      <formula>10000</formula>
    </cfRule>
  </conditionalFormatting>
  <conditionalFormatting sqref="J34">
    <cfRule type="cellIs" dxfId="1742" priority="2030" operator="greaterThan">
      <formula>10000</formula>
    </cfRule>
    <cfRule type="cellIs" dxfId="1741" priority="2032" operator="greaterThanOrEqual">
      <formula>1550</formula>
    </cfRule>
    <cfRule type="cellIs" dxfId="1740" priority="2033" operator="greaterThanOrEqual">
      <formula>1525</formula>
    </cfRule>
    <cfRule type="cellIs" dxfId="1739" priority="2034" operator="greaterThanOrEqual">
      <formula>1475</formula>
    </cfRule>
    <cfRule type="cellIs" dxfId="1738" priority="2035" operator="greaterThanOrEqual">
      <formula>1400</formula>
    </cfRule>
  </conditionalFormatting>
  <conditionalFormatting sqref="J34">
    <cfRule type="cellIs" dxfId="1737" priority="2031" operator="greaterThan">
      <formula>1600</formula>
    </cfRule>
  </conditionalFormatting>
  <conditionalFormatting sqref="I26">
    <cfRule type="cellIs" dxfId="1736" priority="2029" operator="greaterThan">
      <formula>10000</formula>
    </cfRule>
  </conditionalFormatting>
  <conditionalFormatting sqref="I26">
    <cfRule type="cellIs" dxfId="1735" priority="2023" operator="greaterThan">
      <formula>10000</formula>
    </cfRule>
    <cfRule type="cellIs" dxfId="1734" priority="2025" operator="greaterThanOrEqual">
      <formula>1550</formula>
    </cfRule>
    <cfRule type="cellIs" dxfId="1733" priority="2026" operator="greaterThanOrEqual">
      <formula>1525</formula>
    </cfRule>
    <cfRule type="cellIs" dxfId="1732" priority="2027" operator="greaterThanOrEqual">
      <formula>1475</formula>
    </cfRule>
    <cfRule type="cellIs" dxfId="1731" priority="2028" operator="greaterThanOrEqual">
      <formula>1400</formula>
    </cfRule>
  </conditionalFormatting>
  <conditionalFormatting sqref="I26">
    <cfRule type="cellIs" dxfId="1730" priority="2024" operator="greaterThan">
      <formula>1600</formula>
    </cfRule>
  </conditionalFormatting>
  <conditionalFormatting sqref="K26">
    <cfRule type="cellIs" dxfId="1729" priority="2019" operator="greaterThan">
      <formula>10000</formula>
    </cfRule>
    <cfRule type="cellIs" dxfId="1728" priority="2020" operator="greaterThanOrEqual">
      <formula>1500</formula>
    </cfRule>
    <cfRule type="cellIs" dxfId="1727" priority="2021" operator="greaterThanOrEqual">
      <formula>1450</formula>
    </cfRule>
    <cfRule type="cellIs" dxfId="1726" priority="2022" operator="greaterThan">
      <formula>1400</formula>
    </cfRule>
  </conditionalFormatting>
  <conditionalFormatting sqref="K26">
    <cfRule type="cellIs" dxfId="1725" priority="2014" operator="greaterThan">
      <formula>10000</formula>
    </cfRule>
    <cfRule type="cellIs" dxfId="1724" priority="2015" operator="greaterThanOrEqual">
      <formula>1500</formula>
    </cfRule>
    <cfRule type="cellIs" dxfId="1723" priority="2016" operator="greaterThanOrEqual">
      <formula>1475</formula>
    </cfRule>
    <cfRule type="cellIs" dxfId="1722" priority="2017" operator="greaterThanOrEqual">
      <formula>1450</formula>
    </cfRule>
    <cfRule type="cellIs" dxfId="1721" priority="2018" operator="greaterThanOrEqual">
      <formula>1400</formula>
    </cfRule>
  </conditionalFormatting>
  <conditionalFormatting sqref="K26">
    <cfRule type="cellIs" dxfId="1720" priority="2010" operator="greaterThan">
      <formula>10000</formula>
    </cfRule>
    <cfRule type="cellIs" dxfId="1719" priority="2011" operator="greaterThanOrEqual">
      <formula>1500</formula>
    </cfRule>
    <cfRule type="cellIs" dxfId="1718" priority="2012" operator="greaterThanOrEqual">
      <formula>1450</formula>
    </cfRule>
    <cfRule type="cellIs" dxfId="1717" priority="2013" operator="greaterThan">
      <formula>1400</formula>
    </cfRule>
  </conditionalFormatting>
  <conditionalFormatting sqref="K26">
    <cfRule type="cellIs" dxfId="1716" priority="2005" operator="greaterThan">
      <formula>10000</formula>
    </cfRule>
    <cfRule type="cellIs" dxfId="1715" priority="2006" operator="greaterThanOrEqual">
      <formula>1500</formula>
    </cfRule>
    <cfRule type="cellIs" dxfId="1714" priority="2007" operator="greaterThanOrEqual">
      <formula>1475</formula>
    </cfRule>
    <cfRule type="cellIs" dxfId="1713" priority="2008" operator="greaterThanOrEqual">
      <formula>1450</formula>
    </cfRule>
    <cfRule type="cellIs" dxfId="1712" priority="2009" operator="greaterThanOrEqual">
      <formula>1400</formula>
    </cfRule>
  </conditionalFormatting>
  <conditionalFormatting sqref="K26">
    <cfRule type="cellIs" dxfId="1711" priority="2001" operator="greaterThan">
      <formula>10000</formula>
    </cfRule>
    <cfRule type="cellIs" dxfId="1710" priority="2002" operator="greaterThanOrEqual">
      <formula>1500</formula>
    </cfRule>
    <cfRule type="cellIs" dxfId="1709" priority="2003" operator="greaterThanOrEqual">
      <formula>1450</formula>
    </cfRule>
    <cfRule type="cellIs" dxfId="1708" priority="2004" operator="greaterThan">
      <formula>1400</formula>
    </cfRule>
  </conditionalFormatting>
  <conditionalFormatting sqref="K26">
    <cfRule type="cellIs" dxfId="1707" priority="1996" operator="greaterThan">
      <formula>10000</formula>
    </cfRule>
    <cfRule type="cellIs" dxfId="1706" priority="1997" operator="greaterThanOrEqual">
      <formula>1500</formula>
    </cfRule>
    <cfRule type="cellIs" dxfId="1705" priority="1998" operator="greaterThanOrEqual">
      <formula>1475</formula>
    </cfRule>
    <cfRule type="cellIs" dxfId="1704" priority="1999" operator="greaterThanOrEqual">
      <formula>1450</formula>
    </cfRule>
    <cfRule type="cellIs" dxfId="1703" priority="2000" operator="greaterThanOrEqual">
      <formula>1400</formula>
    </cfRule>
  </conditionalFormatting>
  <conditionalFormatting sqref="J26">
    <cfRule type="cellIs" dxfId="1702" priority="1995" operator="greaterThan">
      <formula>10000</formula>
    </cfRule>
  </conditionalFormatting>
  <conditionalFormatting sqref="J26">
    <cfRule type="cellIs" dxfId="1701" priority="1989" operator="greaterThan">
      <formula>10000</formula>
    </cfRule>
    <cfRule type="cellIs" dxfId="1700" priority="1991" operator="greaterThanOrEqual">
      <formula>1550</formula>
    </cfRule>
    <cfRule type="cellIs" dxfId="1699" priority="1992" operator="greaterThanOrEqual">
      <formula>1525</formula>
    </cfRule>
    <cfRule type="cellIs" dxfId="1698" priority="1993" operator="greaterThanOrEqual">
      <formula>1475</formula>
    </cfRule>
    <cfRule type="cellIs" dxfId="1697" priority="1994" operator="greaterThanOrEqual">
      <formula>1400</formula>
    </cfRule>
  </conditionalFormatting>
  <conditionalFormatting sqref="J26">
    <cfRule type="cellIs" dxfId="1696" priority="1990" operator="greaterThan">
      <formula>1600</formula>
    </cfRule>
  </conditionalFormatting>
  <conditionalFormatting sqref="I25">
    <cfRule type="cellIs" dxfId="1695" priority="1988" operator="greaterThan">
      <formula>10000</formula>
    </cfRule>
  </conditionalFormatting>
  <conditionalFormatting sqref="I25">
    <cfRule type="cellIs" dxfId="1694" priority="1982" operator="greaterThan">
      <formula>10000</formula>
    </cfRule>
    <cfRule type="cellIs" dxfId="1693" priority="1984" operator="greaterThanOrEqual">
      <formula>1550</formula>
    </cfRule>
    <cfRule type="cellIs" dxfId="1692" priority="1985" operator="greaterThanOrEqual">
      <formula>1525</formula>
    </cfRule>
    <cfRule type="cellIs" dxfId="1691" priority="1986" operator="greaterThanOrEqual">
      <formula>1475</formula>
    </cfRule>
    <cfRule type="cellIs" dxfId="1690" priority="1987" operator="greaterThanOrEqual">
      <formula>1400</formula>
    </cfRule>
  </conditionalFormatting>
  <conditionalFormatting sqref="I25">
    <cfRule type="cellIs" dxfId="1689" priority="1983" operator="greaterThan">
      <formula>1600</formula>
    </cfRule>
  </conditionalFormatting>
  <conditionalFormatting sqref="K25">
    <cfRule type="cellIs" dxfId="1688" priority="1978" operator="greaterThan">
      <formula>10000</formula>
    </cfRule>
    <cfRule type="cellIs" dxfId="1687" priority="1979" operator="greaterThanOrEqual">
      <formula>1500</formula>
    </cfRule>
    <cfRule type="cellIs" dxfId="1686" priority="1980" operator="greaterThanOrEqual">
      <formula>1450</formula>
    </cfRule>
    <cfRule type="cellIs" dxfId="1685" priority="1981" operator="greaterThan">
      <formula>1400</formula>
    </cfRule>
  </conditionalFormatting>
  <conditionalFormatting sqref="K25">
    <cfRule type="cellIs" dxfId="1684" priority="1973" operator="greaterThan">
      <formula>10000</formula>
    </cfRule>
    <cfRule type="cellIs" dxfId="1683" priority="1974" operator="greaterThanOrEqual">
      <formula>1500</formula>
    </cfRule>
    <cfRule type="cellIs" dxfId="1682" priority="1975" operator="greaterThanOrEqual">
      <formula>1475</formula>
    </cfRule>
    <cfRule type="cellIs" dxfId="1681" priority="1976" operator="greaterThanOrEqual">
      <formula>1450</formula>
    </cfRule>
    <cfRule type="cellIs" dxfId="1680" priority="1977" operator="greaterThanOrEqual">
      <formula>1400</formula>
    </cfRule>
  </conditionalFormatting>
  <conditionalFormatting sqref="K25">
    <cfRule type="cellIs" dxfId="1679" priority="1969" operator="greaterThan">
      <formula>10000</formula>
    </cfRule>
    <cfRule type="cellIs" dxfId="1678" priority="1970" operator="greaterThanOrEqual">
      <formula>1500</formula>
    </cfRule>
    <cfRule type="cellIs" dxfId="1677" priority="1971" operator="greaterThanOrEqual">
      <formula>1450</formula>
    </cfRule>
    <cfRule type="cellIs" dxfId="1676" priority="1972" operator="greaterThan">
      <formula>1400</formula>
    </cfRule>
  </conditionalFormatting>
  <conditionalFormatting sqref="K25">
    <cfRule type="cellIs" dxfId="1675" priority="1964" operator="greaterThan">
      <formula>10000</formula>
    </cfRule>
    <cfRule type="cellIs" dxfId="1674" priority="1965" operator="greaterThanOrEqual">
      <formula>1500</formula>
    </cfRule>
    <cfRule type="cellIs" dxfId="1673" priority="1966" operator="greaterThanOrEqual">
      <formula>1475</formula>
    </cfRule>
    <cfRule type="cellIs" dxfId="1672" priority="1967" operator="greaterThanOrEqual">
      <formula>1450</formula>
    </cfRule>
    <cfRule type="cellIs" dxfId="1671" priority="1968" operator="greaterThanOrEqual">
      <formula>1400</formula>
    </cfRule>
  </conditionalFormatting>
  <conditionalFormatting sqref="K25">
    <cfRule type="cellIs" dxfId="1670" priority="1960" operator="greaterThan">
      <formula>10000</formula>
    </cfRule>
    <cfRule type="cellIs" dxfId="1669" priority="1961" operator="greaterThanOrEqual">
      <formula>1500</formula>
    </cfRule>
    <cfRule type="cellIs" dxfId="1668" priority="1962" operator="greaterThanOrEqual">
      <formula>1450</formula>
    </cfRule>
    <cfRule type="cellIs" dxfId="1667" priority="1963" operator="greaterThan">
      <formula>1400</formula>
    </cfRule>
  </conditionalFormatting>
  <conditionalFormatting sqref="K25">
    <cfRule type="cellIs" dxfId="1666" priority="1955" operator="greaterThan">
      <formula>10000</formula>
    </cfRule>
    <cfRule type="cellIs" dxfId="1665" priority="1956" operator="greaterThanOrEqual">
      <formula>1500</formula>
    </cfRule>
    <cfRule type="cellIs" dxfId="1664" priority="1957" operator="greaterThanOrEqual">
      <formula>1475</formula>
    </cfRule>
    <cfRule type="cellIs" dxfId="1663" priority="1958" operator="greaterThanOrEqual">
      <formula>1450</formula>
    </cfRule>
    <cfRule type="cellIs" dxfId="1662" priority="1959" operator="greaterThanOrEqual">
      <formula>1400</formula>
    </cfRule>
  </conditionalFormatting>
  <conditionalFormatting sqref="J25">
    <cfRule type="cellIs" dxfId="1661" priority="1954" operator="greaterThan">
      <formula>10000</formula>
    </cfRule>
  </conditionalFormatting>
  <conditionalFormatting sqref="J25">
    <cfRule type="cellIs" dxfId="1660" priority="1948" operator="greaterThan">
      <formula>10000</formula>
    </cfRule>
    <cfRule type="cellIs" dxfId="1659" priority="1950" operator="greaterThanOrEqual">
      <formula>1550</formula>
    </cfRule>
    <cfRule type="cellIs" dxfId="1658" priority="1951" operator="greaterThanOrEqual">
      <formula>1525</formula>
    </cfRule>
    <cfRule type="cellIs" dxfId="1657" priority="1952" operator="greaterThanOrEqual">
      <formula>1475</formula>
    </cfRule>
    <cfRule type="cellIs" dxfId="1656" priority="1953" operator="greaterThanOrEqual">
      <formula>1400</formula>
    </cfRule>
  </conditionalFormatting>
  <conditionalFormatting sqref="J25">
    <cfRule type="cellIs" dxfId="1655" priority="1949" operator="greaterThan">
      <formula>1600</formula>
    </cfRule>
  </conditionalFormatting>
  <conditionalFormatting sqref="I22">
    <cfRule type="cellIs" dxfId="1654" priority="1947" operator="greaterThan">
      <formula>10000</formula>
    </cfRule>
  </conditionalFormatting>
  <conditionalFormatting sqref="I22">
    <cfRule type="cellIs" dxfId="1653" priority="1941" operator="greaterThan">
      <formula>10000</formula>
    </cfRule>
    <cfRule type="cellIs" dxfId="1652" priority="1943" operator="greaterThanOrEqual">
      <formula>1550</formula>
    </cfRule>
    <cfRule type="cellIs" dxfId="1651" priority="1944" operator="greaterThanOrEqual">
      <formula>1525</formula>
    </cfRule>
    <cfRule type="cellIs" dxfId="1650" priority="1945" operator="greaterThanOrEqual">
      <formula>1475</formula>
    </cfRule>
    <cfRule type="cellIs" dxfId="1649" priority="1946" operator="greaterThanOrEqual">
      <formula>1400</formula>
    </cfRule>
  </conditionalFormatting>
  <conditionalFormatting sqref="I22">
    <cfRule type="cellIs" dxfId="1648" priority="1942" operator="greaterThan">
      <formula>1600</formula>
    </cfRule>
  </conditionalFormatting>
  <conditionalFormatting sqref="K22">
    <cfRule type="cellIs" dxfId="1647" priority="1937" operator="greaterThan">
      <formula>10000</formula>
    </cfRule>
    <cfRule type="cellIs" dxfId="1646" priority="1938" operator="greaterThanOrEqual">
      <formula>1500</formula>
    </cfRule>
    <cfRule type="cellIs" dxfId="1645" priority="1939" operator="greaterThanOrEqual">
      <formula>1450</formula>
    </cfRule>
    <cfRule type="cellIs" dxfId="1644" priority="1940" operator="greaterThan">
      <formula>1400</formula>
    </cfRule>
  </conditionalFormatting>
  <conditionalFormatting sqref="K22">
    <cfRule type="cellIs" dxfId="1643" priority="1932" operator="greaterThan">
      <formula>10000</formula>
    </cfRule>
    <cfRule type="cellIs" dxfId="1642" priority="1933" operator="greaterThanOrEqual">
      <formula>1500</formula>
    </cfRule>
    <cfRule type="cellIs" dxfId="1641" priority="1934" operator="greaterThanOrEqual">
      <formula>1475</formula>
    </cfRule>
    <cfRule type="cellIs" dxfId="1640" priority="1935" operator="greaterThanOrEqual">
      <formula>1450</formula>
    </cfRule>
    <cfRule type="cellIs" dxfId="1639" priority="1936" operator="greaterThanOrEqual">
      <formula>1400</formula>
    </cfRule>
  </conditionalFormatting>
  <conditionalFormatting sqref="K22">
    <cfRule type="cellIs" dxfId="1638" priority="1928" operator="greaterThan">
      <formula>10000</formula>
    </cfRule>
    <cfRule type="cellIs" dxfId="1637" priority="1929" operator="greaterThanOrEqual">
      <formula>1500</formula>
    </cfRule>
    <cfRule type="cellIs" dxfId="1636" priority="1930" operator="greaterThanOrEqual">
      <formula>1450</formula>
    </cfRule>
    <cfRule type="cellIs" dxfId="1635" priority="1931" operator="greaterThan">
      <formula>1400</formula>
    </cfRule>
  </conditionalFormatting>
  <conditionalFormatting sqref="K22">
    <cfRule type="cellIs" dxfId="1634" priority="1923" operator="greaterThan">
      <formula>10000</formula>
    </cfRule>
    <cfRule type="cellIs" dxfId="1633" priority="1924" operator="greaterThanOrEqual">
      <formula>1500</formula>
    </cfRule>
    <cfRule type="cellIs" dxfId="1632" priority="1925" operator="greaterThanOrEqual">
      <formula>1475</formula>
    </cfRule>
    <cfRule type="cellIs" dxfId="1631" priority="1926" operator="greaterThanOrEqual">
      <formula>1450</formula>
    </cfRule>
    <cfRule type="cellIs" dxfId="1630" priority="1927" operator="greaterThanOrEqual">
      <formula>1400</formula>
    </cfRule>
  </conditionalFormatting>
  <conditionalFormatting sqref="K22">
    <cfRule type="cellIs" dxfId="1629" priority="1919" operator="greaterThan">
      <formula>10000</formula>
    </cfRule>
    <cfRule type="cellIs" dxfId="1628" priority="1920" operator="greaterThanOrEqual">
      <formula>1500</formula>
    </cfRule>
    <cfRule type="cellIs" dxfId="1627" priority="1921" operator="greaterThanOrEqual">
      <formula>1450</formula>
    </cfRule>
    <cfRule type="cellIs" dxfId="1626" priority="1922" operator="greaterThan">
      <formula>1400</formula>
    </cfRule>
  </conditionalFormatting>
  <conditionalFormatting sqref="K22">
    <cfRule type="cellIs" dxfId="1625" priority="1914" operator="greaterThan">
      <formula>10000</formula>
    </cfRule>
    <cfRule type="cellIs" dxfId="1624" priority="1915" operator="greaterThanOrEqual">
      <formula>1500</formula>
    </cfRule>
    <cfRule type="cellIs" dxfId="1623" priority="1916" operator="greaterThanOrEqual">
      <formula>1475</formula>
    </cfRule>
    <cfRule type="cellIs" dxfId="1622" priority="1917" operator="greaterThanOrEqual">
      <formula>1450</formula>
    </cfRule>
    <cfRule type="cellIs" dxfId="1621" priority="1918" operator="greaterThanOrEqual">
      <formula>1400</formula>
    </cfRule>
  </conditionalFormatting>
  <conditionalFormatting sqref="J22">
    <cfRule type="cellIs" dxfId="1620" priority="1913" operator="greaterThan">
      <formula>10000</formula>
    </cfRule>
  </conditionalFormatting>
  <conditionalFormatting sqref="J22">
    <cfRule type="cellIs" dxfId="1619" priority="1907" operator="greaterThan">
      <formula>10000</formula>
    </cfRule>
    <cfRule type="cellIs" dxfId="1618" priority="1909" operator="greaterThanOrEqual">
      <formula>1550</formula>
    </cfRule>
    <cfRule type="cellIs" dxfId="1617" priority="1910" operator="greaterThanOrEqual">
      <formula>1525</formula>
    </cfRule>
    <cfRule type="cellIs" dxfId="1616" priority="1911" operator="greaterThanOrEqual">
      <formula>1475</formula>
    </cfRule>
    <cfRule type="cellIs" dxfId="1615" priority="1912" operator="greaterThanOrEqual">
      <formula>1400</formula>
    </cfRule>
  </conditionalFormatting>
  <conditionalFormatting sqref="J22">
    <cfRule type="cellIs" dxfId="1614" priority="1908" operator="greaterThan">
      <formula>1600</formula>
    </cfRule>
  </conditionalFormatting>
  <conditionalFormatting sqref="I21">
    <cfRule type="cellIs" dxfId="1613" priority="1906" operator="greaterThan">
      <formula>10000</formula>
    </cfRule>
  </conditionalFormatting>
  <conditionalFormatting sqref="I21">
    <cfRule type="cellIs" dxfId="1612" priority="1900" operator="greaterThan">
      <formula>10000</formula>
    </cfRule>
    <cfRule type="cellIs" dxfId="1611" priority="1902" operator="greaterThanOrEqual">
      <formula>1550</formula>
    </cfRule>
    <cfRule type="cellIs" dxfId="1610" priority="1903" operator="greaterThanOrEqual">
      <formula>1525</formula>
    </cfRule>
    <cfRule type="cellIs" dxfId="1609" priority="1904" operator="greaterThanOrEqual">
      <formula>1475</formula>
    </cfRule>
    <cfRule type="cellIs" dxfId="1608" priority="1905" operator="greaterThanOrEqual">
      <formula>1400</formula>
    </cfRule>
  </conditionalFormatting>
  <conditionalFormatting sqref="I21">
    <cfRule type="cellIs" dxfId="1607" priority="1901" operator="greaterThan">
      <formula>1600</formula>
    </cfRule>
  </conditionalFormatting>
  <conditionalFormatting sqref="K21">
    <cfRule type="cellIs" dxfId="1606" priority="1896" operator="greaterThan">
      <formula>10000</formula>
    </cfRule>
    <cfRule type="cellIs" dxfId="1605" priority="1897" operator="greaterThanOrEqual">
      <formula>1500</formula>
    </cfRule>
    <cfRule type="cellIs" dxfId="1604" priority="1898" operator="greaterThanOrEqual">
      <formula>1450</formula>
    </cfRule>
    <cfRule type="cellIs" dxfId="1603" priority="1899" operator="greaterThan">
      <formula>1400</formula>
    </cfRule>
  </conditionalFormatting>
  <conditionalFormatting sqref="K21">
    <cfRule type="cellIs" dxfId="1602" priority="1891" operator="greaterThan">
      <formula>10000</formula>
    </cfRule>
    <cfRule type="cellIs" dxfId="1601" priority="1892" operator="greaterThanOrEqual">
      <formula>1500</formula>
    </cfRule>
    <cfRule type="cellIs" dxfId="1600" priority="1893" operator="greaterThanOrEqual">
      <formula>1475</formula>
    </cfRule>
    <cfRule type="cellIs" dxfId="1599" priority="1894" operator="greaterThanOrEqual">
      <formula>1450</formula>
    </cfRule>
    <cfRule type="cellIs" dxfId="1598" priority="1895" operator="greaterThanOrEqual">
      <formula>1400</formula>
    </cfRule>
  </conditionalFormatting>
  <conditionalFormatting sqref="K21">
    <cfRule type="cellIs" dxfId="1597" priority="1887" operator="greaterThan">
      <formula>10000</formula>
    </cfRule>
    <cfRule type="cellIs" dxfId="1596" priority="1888" operator="greaterThanOrEqual">
      <formula>1500</formula>
    </cfRule>
    <cfRule type="cellIs" dxfId="1595" priority="1889" operator="greaterThanOrEqual">
      <formula>1450</formula>
    </cfRule>
    <cfRule type="cellIs" dxfId="1594" priority="1890" operator="greaterThan">
      <formula>1400</formula>
    </cfRule>
  </conditionalFormatting>
  <conditionalFormatting sqref="K21">
    <cfRule type="cellIs" dxfId="1593" priority="1882" operator="greaterThan">
      <formula>10000</formula>
    </cfRule>
    <cfRule type="cellIs" dxfId="1592" priority="1883" operator="greaterThanOrEqual">
      <formula>1500</formula>
    </cfRule>
    <cfRule type="cellIs" dxfId="1591" priority="1884" operator="greaterThanOrEqual">
      <formula>1475</formula>
    </cfRule>
    <cfRule type="cellIs" dxfId="1590" priority="1885" operator="greaterThanOrEqual">
      <formula>1450</formula>
    </cfRule>
    <cfRule type="cellIs" dxfId="1589" priority="1886" operator="greaterThanOrEqual">
      <formula>1400</formula>
    </cfRule>
  </conditionalFormatting>
  <conditionalFormatting sqref="K21">
    <cfRule type="cellIs" dxfId="1588" priority="1878" operator="greaterThan">
      <formula>10000</formula>
    </cfRule>
    <cfRule type="cellIs" dxfId="1587" priority="1879" operator="greaterThanOrEqual">
      <formula>1500</formula>
    </cfRule>
    <cfRule type="cellIs" dxfId="1586" priority="1880" operator="greaterThanOrEqual">
      <formula>1450</formula>
    </cfRule>
    <cfRule type="cellIs" dxfId="1585" priority="1881" operator="greaterThan">
      <formula>1400</formula>
    </cfRule>
  </conditionalFormatting>
  <conditionalFormatting sqref="K21">
    <cfRule type="cellIs" dxfId="1584" priority="1873" operator="greaterThan">
      <formula>10000</formula>
    </cfRule>
    <cfRule type="cellIs" dxfId="1583" priority="1874" operator="greaterThanOrEqual">
      <formula>1500</formula>
    </cfRule>
    <cfRule type="cellIs" dxfId="1582" priority="1875" operator="greaterThanOrEqual">
      <formula>1475</formula>
    </cfRule>
    <cfRule type="cellIs" dxfId="1581" priority="1876" operator="greaterThanOrEqual">
      <formula>1450</formula>
    </cfRule>
    <cfRule type="cellIs" dxfId="1580" priority="1877" operator="greaterThanOrEqual">
      <formula>1400</formula>
    </cfRule>
  </conditionalFormatting>
  <conditionalFormatting sqref="J21">
    <cfRule type="cellIs" dxfId="1579" priority="1872" operator="greaterThan">
      <formula>10000</formula>
    </cfRule>
  </conditionalFormatting>
  <conditionalFormatting sqref="J21">
    <cfRule type="cellIs" dxfId="1578" priority="1866" operator="greaterThan">
      <formula>10000</formula>
    </cfRule>
    <cfRule type="cellIs" dxfId="1577" priority="1868" operator="greaterThanOrEqual">
      <formula>1550</formula>
    </cfRule>
    <cfRule type="cellIs" dxfId="1576" priority="1869" operator="greaterThanOrEqual">
      <formula>1525</formula>
    </cfRule>
    <cfRule type="cellIs" dxfId="1575" priority="1870" operator="greaterThanOrEqual">
      <formula>1475</formula>
    </cfRule>
    <cfRule type="cellIs" dxfId="1574" priority="1871" operator="greaterThanOrEqual">
      <formula>1400</formula>
    </cfRule>
  </conditionalFormatting>
  <conditionalFormatting sqref="J21">
    <cfRule type="cellIs" dxfId="1573" priority="1867" operator="greaterThan">
      <formula>1600</formula>
    </cfRule>
  </conditionalFormatting>
  <conditionalFormatting sqref="I20">
    <cfRule type="cellIs" dxfId="1572" priority="1865" operator="greaterThan">
      <formula>10000</formula>
    </cfRule>
  </conditionalFormatting>
  <conditionalFormatting sqref="I20">
    <cfRule type="cellIs" dxfId="1571" priority="1859" operator="greaterThan">
      <formula>10000</formula>
    </cfRule>
    <cfRule type="cellIs" dxfId="1570" priority="1861" operator="greaterThanOrEqual">
      <formula>1550</formula>
    </cfRule>
    <cfRule type="cellIs" dxfId="1569" priority="1862" operator="greaterThanOrEqual">
      <formula>1525</formula>
    </cfRule>
    <cfRule type="cellIs" dxfId="1568" priority="1863" operator="greaterThanOrEqual">
      <formula>1475</formula>
    </cfRule>
    <cfRule type="cellIs" dxfId="1567" priority="1864" operator="greaterThanOrEqual">
      <formula>1400</formula>
    </cfRule>
  </conditionalFormatting>
  <conditionalFormatting sqref="I20">
    <cfRule type="cellIs" dxfId="1566" priority="1860" operator="greaterThan">
      <formula>1600</formula>
    </cfRule>
  </conditionalFormatting>
  <conditionalFormatting sqref="K20">
    <cfRule type="cellIs" dxfId="1565" priority="1855" operator="greaterThan">
      <formula>10000</formula>
    </cfRule>
    <cfRule type="cellIs" dxfId="1564" priority="1856" operator="greaterThanOrEqual">
      <formula>1500</formula>
    </cfRule>
    <cfRule type="cellIs" dxfId="1563" priority="1857" operator="greaterThanOrEqual">
      <formula>1450</formula>
    </cfRule>
    <cfRule type="cellIs" dxfId="1562" priority="1858" operator="greaterThan">
      <formula>1400</formula>
    </cfRule>
  </conditionalFormatting>
  <conditionalFormatting sqref="K20">
    <cfRule type="cellIs" dxfId="1561" priority="1850" operator="greaterThan">
      <formula>10000</formula>
    </cfRule>
    <cfRule type="cellIs" dxfId="1560" priority="1851" operator="greaterThanOrEqual">
      <formula>1500</formula>
    </cfRule>
    <cfRule type="cellIs" dxfId="1559" priority="1852" operator="greaterThanOrEqual">
      <formula>1475</formula>
    </cfRule>
    <cfRule type="cellIs" dxfId="1558" priority="1853" operator="greaterThanOrEqual">
      <formula>1450</formula>
    </cfRule>
    <cfRule type="cellIs" dxfId="1557" priority="1854" operator="greaterThanOrEqual">
      <formula>1400</formula>
    </cfRule>
  </conditionalFormatting>
  <conditionalFormatting sqref="K20">
    <cfRule type="cellIs" dxfId="1556" priority="1846" operator="greaterThan">
      <formula>10000</formula>
    </cfRule>
    <cfRule type="cellIs" dxfId="1555" priority="1847" operator="greaterThanOrEqual">
      <formula>1500</formula>
    </cfRule>
    <cfRule type="cellIs" dxfId="1554" priority="1848" operator="greaterThanOrEqual">
      <formula>1450</formula>
    </cfRule>
    <cfRule type="cellIs" dxfId="1553" priority="1849" operator="greaterThan">
      <formula>1400</formula>
    </cfRule>
  </conditionalFormatting>
  <conditionalFormatting sqref="K20">
    <cfRule type="cellIs" dxfId="1552" priority="1841" operator="greaterThan">
      <formula>10000</formula>
    </cfRule>
    <cfRule type="cellIs" dxfId="1551" priority="1842" operator="greaterThanOrEqual">
      <formula>1500</formula>
    </cfRule>
    <cfRule type="cellIs" dxfId="1550" priority="1843" operator="greaterThanOrEqual">
      <formula>1475</formula>
    </cfRule>
    <cfRule type="cellIs" dxfId="1549" priority="1844" operator="greaterThanOrEqual">
      <formula>1450</formula>
    </cfRule>
    <cfRule type="cellIs" dxfId="1548" priority="1845" operator="greaterThanOrEqual">
      <formula>1400</formula>
    </cfRule>
  </conditionalFormatting>
  <conditionalFormatting sqref="K20">
    <cfRule type="cellIs" dxfId="1547" priority="1837" operator="greaterThan">
      <formula>10000</formula>
    </cfRule>
    <cfRule type="cellIs" dxfId="1546" priority="1838" operator="greaterThanOrEqual">
      <formula>1500</formula>
    </cfRule>
    <cfRule type="cellIs" dxfId="1545" priority="1839" operator="greaterThanOrEqual">
      <formula>1450</formula>
    </cfRule>
    <cfRule type="cellIs" dxfId="1544" priority="1840" operator="greaterThan">
      <formula>1400</formula>
    </cfRule>
  </conditionalFormatting>
  <conditionalFormatting sqref="K20">
    <cfRule type="cellIs" dxfId="1543" priority="1832" operator="greaterThan">
      <formula>10000</formula>
    </cfRule>
    <cfRule type="cellIs" dxfId="1542" priority="1833" operator="greaterThanOrEqual">
      <formula>1500</formula>
    </cfRule>
    <cfRule type="cellIs" dxfId="1541" priority="1834" operator="greaterThanOrEqual">
      <formula>1475</formula>
    </cfRule>
    <cfRule type="cellIs" dxfId="1540" priority="1835" operator="greaterThanOrEqual">
      <formula>1450</formula>
    </cfRule>
    <cfRule type="cellIs" dxfId="1539" priority="1836" operator="greaterThanOrEqual">
      <formula>1400</formula>
    </cfRule>
  </conditionalFormatting>
  <conditionalFormatting sqref="J20">
    <cfRule type="cellIs" dxfId="1538" priority="1831" operator="greaterThan">
      <formula>10000</formula>
    </cfRule>
  </conditionalFormatting>
  <conditionalFormatting sqref="J20">
    <cfRule type="cellIs" dxfId="1537" priority="1825" operator="greaterThan">
      <formula>10000</formula>
    </cfRule>
    <cfRule type="cellIs" dxfId="1536" priority="1827" operator="greaterThanOrEqual">
      <formula>1550</formula>
    </cfRule>
    <cfRule type="cellIs" dxfId="1535" priority="1828" operator="greaterThanOrEqual">
      <formula>1525</formula>
    </cfRule>
    <cfRule type="cellIs" dxfId="1534" priority="1829" operator="greaterThanOrEqual">
      <formula>1475</formula>
    </cfRule>
    <cfRule type="cellIs" dxfId="1533" priority="1830" operator="greaterThanOrEqual">
      <formula>1400</formula>
    </cfRule>
  </conditionalFormatting>
  <conditionalFormatting sqref="J20">
    <cfRule type="cellIs" dxfId="1532" priority="1826" operator="greaterThan">
      <formula>1600</formula>
    </cfRule>
  </conditionalFormatting>
  <conditionalFormatting sqref="I19">
    <cfRule type="cellIs" dxfId="1531" priority="1824" operator="greaterThan">
      <formula>10000</formula>
    </cfRule>
  </conditionalFormatting>
  <conditionalFormatting sqref="I19">
    <cfRule type="cellIs" dxfId="1530" priority="1818" operator="greaterThan">
      <formula>10000</formula>
    </cfRule>
    <cfRule type="cellIs" dxfId="1529" priority="1820" operator="greaterThanOrEqual">
      <formula>1550</formula>
    </cfRule>
    <cfRule type="cellIs" dxfId="1528" priority="1821" operator="greaterThanOrEqual">
      <formula>1525</formula>
    </cfRule>
    <cfRule type="cellIs" dxfId="1527" priority="1822" operator="greaterThanOrEqual">
      <formula>1475</formula>
    </cfRule>
    <cfRule type="cellIs" dxfId="1526" priority="1823" operator="greaterThanOrEqual">
      <formula>1400</formula>
    </cfRule>
  </conditionalFormatting>
  <conditionalFormatting sqref="I19">
    <cfRule type="cellIs" dxfId="1525" priority="1819" operator="greaterThan">
      <formula>1600</formula>
    </cfRule>
  </conditionalFormatting>
  <conditionalFormatting sqref="K19">
    <cfRule type="cellIs" dxfId="1524" priority="1814" operator="greaterThan">
      <formula>10000</formula>
    </cfRule>
    <cfRule type="cellIs" dxfId="1523" priority="1815" operator="greaterThanOrEqual">
      <formula>1500</formula>
    </cfRule>
    <cfRule type="cellIs" dxfId="1522" priority="1816" operator="greaterThanOrEqual">
      <formula>1450</formula>
    </cfRule>
    <cfRule type="cellIs" dxfId="1521" priority="1817" operator="greaterThan">
      <formula>1400</formula>
    </cfRule>
  </conditionalFormatting>
  <conditionalFormatting sqref="K19">
    <cfRule type="cellIs" dxfId="1520" priority="1809" operator="greaterThan">
      <formula>10000</formula>
    </cfRule>
    <cfRule type="cellIs" dxfId="1519" priority="1810" operator="greaterThanOrEqual">
      <formula>1500</formula>
    </cfRule>
    <cfRule type="cellIs" dxfId="1518" priority="1811" operator="greaterThanOrEqual">
      <formula>1475</formula>
    </cfRule>
    <cfRule type="cellIs" dxfId="1517" priority="1812" operator="greaterThanOrEqual">
      <formula>1450</formula>
    </cfRule>
    <cfRule type="cellIs" dxfId="1516" priority="1813" operator="greaterThanOrEqual">
      <formula>1400</formula>
    </cfRule>
  </conditionalFormatting>
  <conditionalFormatting sqref="K19">
    <cfRule type="cellIs" dxfId="1515" priority="1805" operator="greaterThan">
      <formula>10000</formula>
    </cfRule>
    <cfRule type="cellIs" dxfId="1514" priority="1806" operator="greaterThanOrEqual">
      <formula>1500</formula>
    </cfRule>
    <cfRule type="cellIs" dxfId="1513" priority="1807" operator="greaterThanOrEqual">
      <formula>1450</formula>
    </cfRule>
    <cfRule type="cellIs" dxfId="1512" priority="1808" operator="greaterThan">
      <formula>1400</formula>
    </cfRule>
  </conditionalFormatting>
  <conditionalFormatting sqref="K19">
    <cfRule type="cellIs" dxfId="1511" priority="1800" operator="greaterThan">
      <formula>10000</formula>
    </cfRule>
    <cfRule type="cellIs" dxfId="1510" priority="1801" operator="greaterThanOrEqual">
      <formula>1500</formula>
    </cfRule>
    <cfRule type="cellIs" dxfId="1509" priority="1802" operator="greaterThanOrEqual">
      <formula>1475</formula>
    </cfRule>
    <cfRule type="cellIs" dxfId="1508" priority="1803" operator="greaterThanOrEqual">
      <formula>1450</formula>
    </cfRule>
    <cfRule type="cellIs" dxfId="1507" priority="1804" operator="greaterThanOrEqual">
      <formula>1400</formula>
    </cfRule>
  </conditionalFormatting>
  <conditionalFormatting sqref="K19">
    <cfRule type="cellIs" dxfId="1506" priority="1796" operator="greaterThan">
      <formula>10000</formula>
    </cfRule>
    <cfRule type="cellIs" dxfId="1505" priority="1797" operator="greaterThanOrEqual">
      <formula>1500</formula>
    </cfRule>
    <cfRule type="cellIs" dxfId="1504" priority="1798" operator="greaterThanOrEqual">
      <formula>1450</formula>
    </cfRule>
    <cfRule type="cellIs" dxfId="1503" priority="1799" operator="greaterThan">
      <formula>1400</formula>
    </cfRule>
  </conditionalFormatting>
  <conditionalFormatting sqref="K19">
    <cfRule type="cellIs" dxfId="1502" priority="1791" operator="greaterThan">
      <formula>10000</formula>
    </cfRule>
    <cfRule type="cellIs" dxfId="1501" priority="1792" operator="greaterThanOrEqual">
      <formula>1500</formula>
    </cfRule>
    <cfRule type="cellIs" dxfId="1500" priority="1793" operator="greaterThanOrEqual">
      <formula>1475</formula>
    </cfRule>
    <cfRule type="cellIs" dxfId="1499" priority="1794" operator="greaterThanOrEqual">
      <formula>1450</formula>
    </cfRule>
    <cfRule type="cellIs" dxfId="1498" priority="1795" operator="greaterThanOrEqual">
      <formula>1400</formula>
    </cfRule>
  </conditionalFormatting>
  <conditionalFormatting sqref="J19">
    <cfRule type="cellIs" dxfId="1497" priority="1790" operator="greaterThan">
      <formula>10000</formula>
    </cfRule>
  </conditionalFormatting>
  <conditionalFormatting sqref="J19">
    <cfRule type="cellIs" dxfId="1496" priority="1784" operator="greaterThan">
      <formula>10000</formula>
    </cfRule>
    <cfRule type="cellIs" dxfId="1495" priority="1786" operator="greaterThanOrEqual">
      <formula>1550</formula>
    </cfRule>
    <cfRule type="cellIs" dxfId="1494" priority="1787" operator="greaterThanOrEqual">
      <formula>1525</formula>
    </cfRule>
    <cfRule type="cellIs" dxfId="1493" priority="1788" operator="greaterThanOrEqual">
      <formula>1475</formula>
    </cfRule>
    <cfRule type="cellIs" dxfId="1492" priority="1789" operator="greaterThanOrEqual">
      <formula>1400</formula>
    </cfRule>
  </conditionalFormatting>
  <conditionalFormatting sqref="J19">
    <cfRule type="cellIs" dxfId="1491" priority="1785" operator="greaterThan">
      <formula>1600</formula>
    </cfRule>
  </conditionalFormatting>
  <conditionalFormatting sqref="I16:I18">
    <cfRule type="cellIs" dxfId="1490" priority="1783" operator="greaterThan">
      <formula>10000</formula>
    </cfRule>
  </conditionalFormatting>
  <conditionalFormatting sqref="I16:I18">
    <cfRule type="cellIs" dxfId="1489" priority="1777" operator="greaterThan">
      <formula>10000</formula>
    </cfRule>
    <cfRule type="cellIs" dxfId="1488" priority="1779" operator="greaterThanOrEqual">
      <formula>1550</formula>
    </cfRule>
    <cfRule type="cellIs" dxfId="1487" priority="1780" operator="greaterThanOrEqual">
      <formula>1525</formula>
    </cfRule>
    <cfRule type="cellIs" dxfId="1486" priority="1781" operator="greaterThanOrEqual">
      <formula>1475</formula>
    </cfRule>
    <cfRule type="cellIs" dxfId="1485" priority="1782" operator="greaterThanOrEqual">
      <formula>1400</formula>
    </cfRule>
  </conditionalFormatting>
  <conditionalFormatting sqref="I16:I18">
    <cfRule type="cellIs" dxfId="1484" priority="1778" operator="greaterThan">
      <formula>1600</formula>
    </cfRule>
  </conditionalFormatting>
  <conditionalFormatting sqref="K16:K18">
    <cfRule type="cellIs" dxfId="1483" priority="1773" operator="greaterThan">
      <formula>10000</formula>
    </cfRule>
    <cfRule type="cellIs" dxfId="1482" priority="1774" operator="greaterThanOrEqual">
      <formula>1500</formula>
    </cfRule>
    <cfRule type="cellIs" dxfId="1481" priority="1775" operator="greaterThanOrEqual">
      <formula>1450</formula>
    </cfRule>
    <cfRule type="cellIs" dxfId="1480" priority="1776" operator="greaterThan">
      <formula>1400</formula>
    </cfRule>
  </conditionalFormatting>
  <conditionalFormatting sqref="K16:K18">
    <cfRule type="cellIs" dxfId="1479" priority="1768" operator="greaterThan">
      <formula>10000</formula>
    </cfRule>
    <cfRule type="cellIs" dxfId="1478" priority="1769" operator="greaterThanOrEqual">
      <formula>1500</formula>
    </cfRule>
    <cfRule type="cellIs" dxfId="1477" priority="1770" operator="greaterThanOrEqual">
      <formula>1475</formula>
    </cfRule>
    <cfRule type="cellIs" dxfId="1476" priority="1771" operator="greaterThanOrEqual">
      <formula>1450</formula>
    </cfRule>
    <cfRule type="cellIs" dxfId="1475" priority="1772" operator="greaterThanOrEqual">
      <formula>1400</formula>
    </cfRule>
  </conditionalFormatting>
  <conditionalFormatting sqref="K16:K18">
    <cfRule type="cellIs" dxfId="1474" priority="1764" operator="greaterThan">
      <formula>10000</formula>
    </cfRule>
    <cfRule type="cellIs" dxfId="1473" priority="1765" operator="greaterThanOrEqual">
      <formula>1500</formula>
    </cfRule>
    <cfRule type="cellIs" dxfId="1472" priority="1766" operator="greaterThanOrEqual">
      <formula>1450</formula>
    </cfRule>
    <cfRule type="cellIs" dxfId="1471" priority="1767" operator="greaterThan">
      <formula>1400</formula>
    </cfRule>
  </conditionalFormatting>
  <conditionalFormatting sqref="K16:K18">
    <cfRule type="cellIs" dxfId="1470" priority="1759" operator="greaterThan">
      <formula>10000</formula>
    </cfRule>
    <cfRule type="cellIs" dxfId="1469" priority="1760" operator="greaterThanOrEqual">
      <formula>1500</formula>
    </cfRule>
    <cfRule type="cellIs" dxfId="1468" priority="1761" operator="greaterThanOrEqual">
      <formula>1475</formula>
    </cfRule>
    <cfRule type="cellIs" dxfId="1467" priority="1762" operator="greaterThanOrEqual">
      <formula>1450</formula>
    </cfRule>
    <cfRule type="cellIs" dxfId="1466" priority="1763" operator="greaterThanOrEqual">
      <formula>1400</formula>
    </cfRule>
  </conditionalFormatting>
  <conditionalFormatting sqref="K16:K18">
    <cfRule type="cellIs" dxfId="1465" priority="1755" operator="greaterThan">
      <formula>10000</formula>
    </cfRule>
    <cfRule type="cellIs" dxfId="1464" priority="1756" operator="greaterThanOrEqual">
      <formula>1500</formula>
    </cfRule>
    <cfRule type="cellIs" dxfId="1463" priority="1757" operator="greaterThanOrEqual">
      <formula>1450</formula>
    </cfRule>
    <cfRule type="cellIs" dxfId="1462" priority="1758" operator="greaterThan">
      <formula>1400</formula>
    </cfRule>
  </conditionalFormatting>
  <conditionalFormatting sqref="K16:K18">
    <cfRule type="cellIs" dxfId="1461" priority="1750" operator="greaterThan">
      <formula>10000</formula>
    </cfRule>
    <cfRule type="cellIs" dxfId="1460" priority="1751" operator="greaterThanOrEqual">
      <formula>1500</formula>
    </cfRule>
    <cfRule type="cellIs" dxfId="1459" priority="1752" operator="greaterThanOrEqual">
      <formula>1475</formula>
    </cfRule>
    <cfRule type="cellIs" dxfId="1458" priority="1753" operator="greaterThanOrEqual">
      <formula>1450</formula>
    </cfRule>
    <cfRule type="cellIs" dxfId="1457" priority="1754" operator="greaterThanOrEqual">
      <formula>1400</formula>
    </cfRule>
  </conditionalFormatting>
  <conditionalFormatting sqref="J16:J18">
    <cfRule type="cellIs" dxfId="1456" priority="1749" operator="greaterThan">
      <formula>10000</formula>
    </cfRule>
  </conditionalFormatting>
  <conditionalFormatting sqref="J16:J18">
    <cfRule type="cellIs" dxfId="1455" priority="1743" operator="greaterThan">
      <formula>10000</formula>
    </cfRule>
    <cfRule type="cellIs" dxfId="1454" priority="1745" operator="greaterThanOrEqual">
      <formula>1550</formula>
    </cfRule>
    <cfRule type="cellIs" dxfId="1453" priority="1746" operator="greaterThanOrEqual">
      <formula>1525</formula>
    </cfRule>
    <cfRule type="cellIs" dxfId="1452" priority="1747" operator="greaterThanOrEqual">
      <formula>1475</formula>
    </cfRule>
    <cfRule type="cellIs" dxfId="1451" priority="1748" operator="greaterThanOrEqual">
      <formula>1400</formula>
    </cfRule>
  </conditionalFormatting>
  <conditionalFormatting sqref="J16:J18">
    <cfRule type="cellIs" dxfId="1450" priority="1744" operator="greaterThan">
      <formula>1600</formula>
    </cfRule>
  </conditionalFormatting>
  <conditionalFormatting sqref="I14">
    <cfRule type="cellIs" dxfId="1449" priority="1742" operator="greaterThan">
      <formula>10000</formula>
    </cfRule>
  </conditionalFormatting>
  <conditionalFormatting sqref="I14">
    <cfRule type="cellIs" dxfId="1448" priority="1736" operator="greaterThan">
      <formula>10000</formula>
    </cfRule>
    <cfRule type="cellIs" dxfId="1447" priority="1738" operator="greaterThanOrEqual">
      <formula>1550</formula>
    </cfRule>
    <cfRule type="cellIs" dxfId="1446" priority="1739" operator="greaterThanOrEqual">
      <formula>1525</formula>
    </cfRule>
    <cfRule type="cellIs" dxfId="1445" priority="1740" operator="greaterThanOrEqual">
      <formula>1475</formula>
    </cfRule>
    <cfRule type="cellIs" dxfId="1444" priority="1741" operator="greaterThanOrEqual">
      <formula>1400</formula>
    </cfRule>
  </conditionalFormatting>
  <conditionalFormatting sqref="I14">
    <cfRule type="cellIs" dxfId="1443" priority="1737" operator="greaterThan">
      <formula>1600</formula>
    </cfRule>
  </conditionalFormatting>
  <conditionalFormatting sqref="K14">
    <cfRule type="cellIs" dxfId="1442" priority="1732" operator="greaterThan">
      <formula>10000</formula>
    </cfRule>
    <cfRule type="cellIs" dxfId="1441" priority="1733" operator="greaterThanOrEqual">
      <formula>1500</formula>
    </cfRule>
    <cfRule type="cellIs" dxfId="1440" priority="1734" operator="greaterThanOrEqual">
      <formula>1450</formula>
    </cfRule>
    <cfRule type="cellIs" dxfId="1439" priority="1735" operator="greaterThan">
      <formula>1400</formula>
    </cfRule>
  </conditionalFormatting>
  <conditionalFormatting sqref="K14">
    <cfRule type="cellIs" dxfId="1438" priority="1727" operator="greaterThan">
      <formula>10000</formula>
    </cfRule>
    <cfRule type="cellIs" dxfId="1437" priority="1728" operator="greaterThanOrEqual">
      <formula>1500</formula>
    </cfRule>
    <cfRule type="cellIs" dxfId="1436" priority="1729" operator="greaterThanOrEqual">
      <formula>1475</formula>
    </cfRule>
    <cfRule type="cellIs" dxfId="1435" priority="1730" operator="greaterThanOrEqual">
      <formula>1450</formula>
    </cfRule>
    <cfRule type="cellIs" dxfId="1434" priority="1731" operator="greaterThanOrEqual">
      <formula>1400</formula>
    </cfRule>
  </conditionalFormatting>
  <conditionalFormatting sqref="K14">
    <cfRule type="cellIs" dxfId="1433" priority="1723" operator="greaterThan">
      <formula>10000</formula>
    </cfRule>
    <cfRule type="cellIs" dxfId="1432" priority="1724" operator="greaterThanOrEqual">
      <formula>1500</formula>
    </cfRule>
    <cfRule type="cellIs" dxfId="1431" priority="1725" operator="greaterThanOrEqual">
      <formula>1450</formula>
    </cfRule>
    <cfRule type="cellIs" dxfId="1430" priority="1726" operator="greaterThan">
      <formula>1400</formula>
    </cfRule>
  </conditionalFormatting>
  <conditionalFormatting sqref="K14">
    <cfRule type="cellIs" dxfId="1429" priority="1718" operator="greaterThan">
      <formula>10000</formula>
    </cfRule>
    <cfRule type="cellIs" dxfId="1428" priority="1719" operator="greaterThanOrEqual">
      <formula>1500</formula>
    </cfRule>
    <cfRule type="cellIs" dxfId="1427" priority="1720" operator="greaterThanOrEqual">
      <formula>1475</formula>
    </cfRule>
    <cfRule type="cellIs" dxfId="1426" priority="1721" operator="greaterThanOrEqual">
      <formula>1450</formula>
    </cfRule>
    <cfRule type="cellIs" dxfId="1425" priority="1722" operator="greaterThanOrEqual">
      <formula>1400</formula>
    </cfRule>
  </conditionalFormatting>
  <conditionalFormatting sqref="K14">
    <cfRule type="cellIs" dxfId="1424" priority="1714" operator="greaterThan">
      <formula>10000</formula>
    </cfRule>
    <cfRule type="cellIs" dxfId="1423" priority="1715" operator="greaterThanOrEqual">
      <formula>1500</formula>
    </cfRule>
    <cfRule type="cellIs" dxfId="1422" priority="1716" operator="greaterThanOrEqual">
      <formula>1450</formula>
    </cfRule>
    <cfRule type="cellIs" dxfId="1421" priority="1717" operator="greaterThan">
      <formula>1400</formula>
    </cfRule>
  </conditionalFormatting>
  <conditionalFormatting sqref="K14">
    <cfRule type="cellIs" dxfId="1420" priority="1709" operator="greaterThan">
      <formula>10000</formula>
    </cfRule>
    <cfRule type="cellIs" dxfId="1419" priority="1710" operator="greaterThanOrEqual">
      <formula>1500</formula>
    </cfRule>
    <cfRule type="cellIs" dxfId="1418" priority="1711" operator="greaterThanOrEqual">
      <formula>1475</formula>
    </cfRule>
    <cfRule type="cellIs" dxfId="1417" priority="1712" operator="greaterThanOrEqual">
      <formula>1450</formula>
    </cfRule>
    <cfRule type="cellIs" dxfId="1416" priority="1713" operator="greaterThanOrEqual">
      <formula>1400</formula>
    </cfRule>
  </conditionalFormatting>
  <conditionalFormatting sqref="J14">
    <cfRule type="cellIs" dxfId="1415" priority="1708" operator="greaterThan">
      <formula>10000</formula>
    </cfRule>
  </conditionalFormatting>
  <conditionalFormatting sqref="J14">
    <cfRule type="cellIs" dxfId="1414" priority="1702" operator="greaterThan">
      <formula>10000</formula>
    </cfRule>
    <cfRule type="cellIs" dxfId="1413" priority="1704" operator="greaterThanOrEqual">
      <formula>1550</formula>
    </cfRule>
    <cfRule type="cellIs" dxfId="1412" priority="1705" operator="greaterThanOrEqual">
      <formula>1525</formula>
    </cfRule>
    <cfRule type="cellIs" dxfId="1411" priority="1706" operator="greaterThanOrEqual">
      <formula>1475</formula>
    </cfRule>
    <cfRule type="cellIs" dxfId="1410" priority="1707" operator="greaterThanOrEqual">
      <formula>1400</formula>
    </cfRule>
  </conditionalFormatting>
  <conditionalFormatting sqref="J14">
    <cfRule type="cellIs" dxfId="1409" priority="1703" operator="greaterThan">
      <formula>1600</formula>
    </cfRule>
  </conditionalFormatting>
  <conditionalFormatting sqref="I11:I12">
    <cfRule type="cellIs" dxfId="1408" priority="1701" operator="greaterThan">
      <formula>10000</formula>
    </cfRule>
  </conditionalFormatting>
  <conditionalFormatting sqref="I11:I12">
    <cfRule type="cellIs" dxfId="1407" priority="1695" operator="greaterThan">
      <formula>10000</formula>
    </cfRule>
    <cfRule type="cellIs" dxfId="1406" priority="1697" operator="greaterThanOrEqual">
      <formula>1550</formula>
    </cfRule>
    <cfRule type="cellIs" dxfId="1405" priority="1698" operator="greaterThanOrEqual">
      <formula>1525</formula>
    </cfRule>
    <cfRule type="cellIs" dxfId="1404" priority="1699" operator="greaterThanOrEqual">
      <formula>1475</formula>
    </cfRule>
    <cfRule type="cellIs" dxfId="1403" priority="1700" operator="greaterThanOrEqual">
      <formula>1400</formula>
    </cfRule>
  </conditionalFormatting>
  <conditionalFormatting sqref="I11:I12">
    <cfRule type="cellIs" dxfId="1402" priority="1696" operator="greaterThan">
      <formula>1600</formula>
    </cfRule>
  </conditionalFormatting>
  <conditionalFormatting sqref="K11:K12">
    <cfRule type="cellIs" dxfId="1401" priority="1691" operator="greaterThan">
      <formula>10000</formula>
    </cfRule>
    <cfRule type="cellIs" dxfId="1400" priority="1692" operator="greaterThanOrEqual">
      <formula>1500</formula>
    </cfRule>
    <cfRule type="cellIs" dxfId="1399" priority="1693" operator="greaterThanOrEqual">
      <formula>1450</formula>
    </cfRule>
    <cfRule type="cellIs" dxfId="1398" priority="1694" operator="greaterThan">
      <formula>1400</formula>
    </cfRule>
  </conditionalFormatting>
  <conditionalFormatting sqref="K11:K12">
    <cfRule type="cellIs" dxfId="1397" priority="1686" operator="greaterThan">
      <formula>10000</formula>
    </cfRule>
    <cfRule type="cellIs" dxfId="1396" priority="1687" operator="greaterThanOrEqual">
      <formula>1500</formula>
    </cfRule>
    <cfRule type="cellIs" dxfId="1395" priority="1688" operator="greaterThanOrEqual">
      <formula>1475</formula>
    </cfRule>
    <cfRule type="cellIs" dxfId="1394" priority="1689" operator="greaterThanOrEqual">
      <formula>1450</formula>
    </cfRule>
    <cfRule type="cellIs" dxfId="1393" priority="1690" operator="greaterThanOrEqual">
      <formula>1400</formula>
    </cfRule>
  </conditionalFormatting>
  <conditionalFormatting sqref="K11:K12">
    <cfRule type="cellIs" dxfId="1392" priority="1682" operator="greaterThan">
      <formula>10000</formula>
    </cfRule>
    <cfRule type="cellIs" dxfId="1391" priority="1683" operator="greaterThanOrEqual">
      <formula>1500</formula>
    </cfRule>
    <cfRule type="cellIs" dxfId="1390" priority="1684" operator="greaterThanOrEqual">
      <formula>1450</formula>
    </cfRule>
    <cfRule type="cellIs" dxfId="1389" priority="1685" operator="greaterThan">
      <formula>1400</formula>
    </cfRule>
  </conditionalFormatting>
  <conditionalFormatting sqref="K11:K12">
    <cfRule type="cellIs" dxfId="1388" priority="1677" operator="greaterThan">
      <formula>10000</formula>
    </cfRule>
    <cfRule type="cellIs" dxfId="1387" priority="1678" operator="greaterThanOrEqual">
      <formula>1500</formula>
    </cfRule>
    <cfRule type="cellIs" dxfId="1386" priority="1679" operator="greaterThanOrEqual">
      <formula>1475</formula>
    </cfRule>
    <cfRule type="cellIs" dxfId="1385" priority="1680" operator="greaterThanOrEqual">
      <formula>1450</formula>
    </cfRule>
    <cfRule type="cellIs" dxfId="1384" priority="1681" operator="greaterThanOrEqual">
      <formula>1400</formula>
    </cfRule>
  </conditionalFormatting>
  <conditionalFormatting sqref="K11:K12">
    <cfRule type="cellIs" dxfId="1383" priority="1673" operator="greaterThan">
      <formula>10000</formula>
    </cfRule>
    <cfRule type="cellIs" dxfId="1382" priority="1674" operator="greaterThanOrEqual">
      <formula>1500</formula>
    </cfRule>
    <cfRule type="cellIs" dxfId="1381" priority="1675" operator="greaterThanOrEqual">
      <formula>1450</formula>
    </cfRule>
    <cfRule type="cellIs" dxfId="1380" priority="1676" operator="greaterThan">
      <formula>1400</formula>
    </cfRule>
  </conditionalFormatting>
  <conditionalFormatting sqref="K11:K12">
    <cfRule type="cellIs" dxfId="1379" priority="1668" operator="greaterThan">
      <formula>10000</formula>
    </cfRule>
    <cfRule type="cellIs" dxfId="1378" priority="1669" operator="greaterThanOrEqual">
      <formula>1500</formula>
    </cfRule>
    <cfRule type="cellIs" dxfId="1377" priority="1670" operator="greaterThanOrEqual">
      <formula>1475</formula>
    </cfRule>
    <cfRule type="cellIs" dxfId="1376" priority="1671" operator="greaterThanOrEqual">
      <formula>1450</formula>
    </cfRule>
    <cfRule type="cellIs" dxfId="1375" priority="1672" operator="greaterThanOrEqual">
      <formula>1400</formula>
    </cfRule>
  </conditionalFormatting>
  <conditionalFormatting sqref="J11:J12">
    <cfRule type="cellIs" dxfId="1374" priority="1667" operator="greaterThan">
      <formula>10000</formula>
    </cfRule>
  </conditionalFormatting>
  <conditionalFormatting sqref="J11:J12">
    <cfRule type="cellIs" dxfId="1373" priority="1661" operator="greaterThan">
      <formula>10000</formula>
    </cfRule>
    <cfRule type="cellIs" dxfId="1372" priority="1663" operator="greaterThanOrEqual">
      <formula>1550</formula>
    </cfRule>
    <cfRule type="cellIs" dxfId="1371" priority="1664" operator="greaterThanOrEqual">
      <formula>1525</formula>
    </cfRule>
    <cfRule type="cellIs" dxfId="1370" priority="1665" operator="greaterThanOrEqual">
      <formula>1475</formula>
    </cfRule>
    <cfRule type="cellIs" dxfId="1369" priority="1666" operator="greaterThanOrEqual">
      <formula>1400</formula>
    </cfRule>
  </conditionalFormatting>
  <conditionalFormatting sqref="J11:J12">
    <cfRule type="cellIs" dxfId="1368" priority="1662" operator="greaterThan">
      <formula>1600</formula>
    </cfRule>
  </conditionalFormatting>
  <conditionalFormatting sqref="I8:I9">
    <cfRule type="cellIs" dxfId="1367" priority="1660" operator="greaterThan">
      <formula>10000</formula>
    </cfRule>
  </conditionalFormatting>
  <conditionalFormatting sqref="I8:I9">
    <cfRule type="cellIs" dxfId="1366" priority="1654" operator="greaterThan">
      <formula>10000</formula>
    </cfRule>
    <cfRule type="cellIs" dxfId="1365" priority="1656" operator="greaterThanOrEqual">
      <formula>1550</formula>
    </cfRule>
    <cfRule type="cellIs" dxfId="1364" priority="1657" operator="greaterThanOrEqual">
      <formula>1525</formula>
    </cfRule>
    <cfRule type="cellIs" dxfId="1363" priority="1658" operator="greaterThanOrEqual">
      <formula>1475</formula>
    </cfRule>
    <cfRule type="cellIs" dxfId="1362" priority="1659" operator="greaterThanOrEqual">
      <formula>1400</formula>
    </cfRule>
  </conditionalFormatting>
  <conditionalFormatting sqref="I8:I9">
    <cfRule type="cellIs" dxfId="1361" priority="1655" operator="greaterThan">
      <formula>1600</formula>
    </cfRule>
  </conditionalFormatting>
  <conditionalFormatting sqref="K8:K9">
    <cfRule type="cellIs" dxfId="1360" priority="1650" operator="greaterThan">
      <formula>10000</formula>
    </cfRule>
    <cfRule type="cellIs" dxfId="1359" priority="1651" operator="greaterThanOrEqual">
      <formula>1500</formula>
    </cfRule>
    <cfRule type="cellIs" dxfId="1358" priority="1652" operator="greaterThanOrEqual">
      <formula>1450</formula>
    </cfRule>
    <cfRule type="cellIs" dxfId="1357" priority="1653" operator="greaterThan">
      <formula>1400</formula>
    </cfRule>
  </conditionalFormatting>
  <conditionalFormatting sqref="K8:K9">
    <cfRule type="cellIs" dxfId="1356" priority="1645" operator="greaterThan">
      <formula>10000</formula>
    </cfRule>
    <cfRule type="cellIs" dxfId="1355" priority="1646" operator="greaterThanOrEqual">
      <formula>1500</formula>
    </cfRule>
    <cfRule type="cellIs" dxfId="1354" priority="1647" operator="greaterThanOrEqual">
      <formula>1475</formula>
    </cfRule>
    <cfRule type="cellIs" dxfId="1353" priority="1648" operator="greaterThanOrEqual">
      <formula>1450</formula>
    </cfRule>
    <cfRule type="cellIs" dxfId="1352" priority="1649" operator="greaterThanOrEqual">
      <formula>1400</formula>
    </cfRule>
  </conditionalFormatting>
  <conditionalFormatting sqref="K8:K9">
    <cfRule type="cellIs" dxfId="1351" priority="1641" operator="greaterThan">
      <formula>10000</formula>
    </cfRule>
    <cfRule type="cellIs" dxfId="1350" priority="1642" operator="greaterThanOrEqual">
      <formula>1500</formula>
    </cfRule>
    <cfRule type="cellIs" dxfId="1349" priority="1643" operator="greaterThanOrEqual">
      <formula>1450</formula>
    </cfRule>
    <cfRule type="cellIs" dxfId="1348" priority="1644" operator="greaterThan">
      <formula>1400</formula>
    </cfRule>
  </conditionalFormatting>
  <conditionalFormatting sqref="K8:K9">
    <cfRule type="cellIs" dxfId="1347" priority="1636" operator="greaterThan">
      <formula>10000</formula>
    </cfRule>
    <cfRule type="cellIs" dxfId="1346" priority="1637" operator="greaterThanOrEqual">
      <formula>1500</formula>
    </cfRule>
    <cfRule type="cellIs" dxfId="1345" priority="1638" operator="greaterThanOrEqual">
      <formula>1475</formula>
    </cfRule>
    <cfRule type="cellIs" dxfId="1344" priority="1639" operator="greaterThanOrEqual">
      <formula>1450</formula>
    </cfRule>
    <cfRule type="cellIs" dxfId="1343" priority="1640" operator="greaterThanOrEqual">
      <formula>1400</formula>
    </cfRule>
  </conditionalFormatting>
  <conditionalFormatting sqref="K8:K9">
    <cfRule type="cellIs" dxfId="1342" priority="1632" operator="greaterThan">
      <formula>10000</formula>
    </cfRule>
    <cfRule type="cellIs" dxfId="1341" priority="1633" operator="greaterThanOrEqual">
      <formula>1500</formula>
    </cfRule>
    <cfRule type="cellIs" dxfId="1340" priority="1634" operator="greaterThanOrEqual">
      <formula>1450</formula>
    </cfRule>
    <cfRule type="cellIs" dxfId="1339" priority="1635" operator="greaterThan">
      <formula>1400</formula>
    </cfRule>
  </conditionalFormatting>
  <conditionalFormatting sqref="K8:K9">
    <cfRule type="cellIs" dxfId="1338" priority="1627" operator="greaterThan">
      <formula>10000</formula>
    </cfRule>
    <cfRule type="cellIs" dxfId="1337" priority="1628" operator="greaterThanOrEqual">
      <formula>1500</formula>
    </cfRule>
    <cfRule type="cellIs" dxfId="1336" priority="1629" operator="greaterThanOrEqual">
      <formula>1475</formula>
    </cfRule>
    <cfRule type="cellIs" dxfId="1335" priority="1630" operator="greaterThanOrEqual">
      <formula>1450</formula>
    </cfRule>
    <cfRule type="cellIs" dxfId="1334" priority="1631" operator="greaterThanOrEqual">
      <formula>1400</formula>
    </cfRule>
  </conditionalFormatting>
  <conditionalFormatting sqref="J8:J9">
    <cfRule type="cellIs" dxfId="1333" priority="1626" operator="greaterThan">
      <formula>10000</formula>
    </cfRule>
  </conditionalFormatting>
  <conditionalFormatting sqref="J8:J9">
    <cfRule type="cellIs" dxfId="1332" priority="1620" operator="greaterThan">
      <formula>10000</formula>
    </cfRule>
    <cfRule type="cellIs" dxfId="1331" priority="1622" operator="greaterThanOrEqual">
      <formula>1550</formula>
    </cfRule>
    <cfRule type="cellIs" dxfId="1330" priority="1623" operator="greaterThanOrEqual">
      <formula>1525</formula>
    </cfRule>
    <cfRule type="cellIs" dxfId="1329" priority="1624" operator="greaterThanOrEqual">
      <formula>1475</formula>
    </cfRule>
    <cfRule type="cellIs" dxfId="1328" priority="1625" operator="greaterThanOrEqual">
      <formula>1400</formula>
    </cfRule>
  </conditionalFormatting>
  <conditionalFormatting sqref="J8:J9">
    <cfRule type="cellIs" dxfId="1327" priority="1621" operator="greaterThan">
      <formula>1600</formula>
    </cfRule>
  </conditionalFormatting>
  <conditionalFormatting sqref="I3">
    <cfRule type="cellIs" dxfId="1326" priority="1619" operator="greaterThan">
      <formula>10000</formula>
    </cfRule>
  </conditionalFormatting>
  <conditionalFormatting sqref="I3">
    <cfRule type="cellIs" dxfId="1325" priority="1613" operator="greaterThan">
      <formula>10000</formula>
    </cfRule>
    <cfRule type="cellIs" dxfId="1324" priority="1615" operator="greaterThanOrEqual">
      <formula>1550</formula>
    </cfRule>
    <cfRule type="cellIs" dxfId="1323" priority="1616" operator="greaterThanOrEqual">
      <formula>1525</formula>
    </cfRule>
    <cfRule type="cellIs" dxfId="1322" priority="1617" operator="greaterThanOrEqual">
      <formula>1475</formula>
    </cfRule>
    <cfRule type="cellIs" dxfId="1321" priority="1618" operator="greaterThanOrEqual">
      <formula>1400</formula>
    </cfRule>
  </conditionalFormatting>
  <conditionalFormatting sqref="I3">
    <cfRule type="cellIs" dxfId="1320" priority="1614" operator="greaterThan">
      <formula>1600</formula>
    </cfRule>
  </conditionalFormatting>
  <conditionalFormatting sqref="K3">
    <cfRule type="cellIs" dxfId="1319" priority="1609" operator="greaterThan">
      <formula>10000</formula>
    </cfRule>
    <cfRule type="cellIs" dxfId="1318" priority="1610" operator="greaterThanOrEqual">
      <formula>1500</formula>
    </cfRule>
    <cfRule type="cellIs" dxfId="1317" priority="1611" operator="greaterThanOrEqual">
      <formula>1450</formula>
    </cfRule>
    <cfRule type="cellIs" dxfId="1316" priority="1612" operator="greaterThan">
      <formula>1400</formula>
    </cfRule>
  </conditionalFormatting>
  <conditionalFormatting sqref="K3">
    <cfRule type="cellIs" dxfId="1315" priority="1604" operator="greaterThan">
      <formula>10000</formula>
    </cfRule>
    <cfRule type="cellIs" dxfId="1314" priority="1605" operator="greaterThanOrEqual">
      <formula>1500</formula>
    </cfRule>
    <cfRule type="cellIs" dxfId="1313" priority="1606" operator="greaterThanOrEqual">
      <formula>1475</formula>
    </cfRule>
    <cfRule type="cellIs" dxfId="1312" priority="1607" operator="greaterThanOrEqual">
      <formula>1450</formula>
    </cfRule>
    <cfRule type="cellIs" dxfId="1311" priority="1608" operator="greaterThanOrEqual">
      <formula>1400</formula>
    </cfRule>
  </conditionalFormatting>
  <conditionalFormatting sqref="K3">
    <cfRule type="cellIs" dxfId="1310" priority="1600" operator="greaterThan">
      <formula>10000</formula>
    </cfRule>
    <cfRule type="cellIs" dxfId="1309" priority="1601" operator="greaterThanOrEqual">
      <formula>1500</formula>
    </cfRule>
    <cfRule type="cellIs" dxfId="1308" priority="1602" operator="greaterThanOrEqual">
      <formula>1450</formula>
    </cfRule>
    <cfRule type="cellIs" dxfId="1307" priority="1603" operator="greaterThan">
      <formula>1400</formula>
    </cfRule>
  </conditionalFormatting>
  <conditionalFormatting sqref="K3">
    <cfRule type="cellIs" dxfId="1306" priority="1595" operator="greaterThan">
      <formula>10000</formula>
    </cfRule>
    <cfRule type="cellIs" dxfId="1305" priority="1596" operator="greaterThanOrEqual">
      <formula>1500</formula>
    </cfRule>
    <cfRule type="cellIs" dxfId="1304" priority="1597" operator="greaterThanOrEqual">
      <formula>1475</formula>
    </cfRule>
    <cfRule type="cellIs" dxfId="1303" priority="1598" operator="greaterThanOrEqual">
      <formula>1450</formula>
    </cfRule>
    <cfRule type="cellIs" dxfId="1302" priority="1599" operator="greaterThanOrEqual">
      <formula>1400</formula>
    </cfRule>
  </conditionalFormatting>
  <conditionalFormatting sqref="K3">
    <cfRule type="cellIs" dxfId="1301" priority="1591" operator="greaterThan">
      <formula>10000</formula>
    </cfRule>
    <cfRule type="cellIs" dxfId="1300" priority="1592" operator="greaterThanOrEqual">
      <formula>1500</formula>
    </cfRule>
    <cfRule type="cellIs" dxfId="1299" priority="1593" operator="greaterThanOrEqual">
      <formula>1450</formula>
    </cfRule>
    <cfRule type="cellIs" dxfId="1298" priority="1594" operator="greaterThan">
      <formula>1400</formula>
    </cfRule>
  </conditionalFormatting>
  <conditionalFormatting sqref="K3">
    <cfRule type="cellIs" dxfId="1297" priority="1586" operator="greaterThan">
      <formula>10000</formula>
    </cfRule>
    <cfRule type="cellIs" dxfId="1296" priority="1587" operator="greaterThanOrEqual">
      <formula>1500</formula>
    </cfRule>
    <cfRule type="cellIs" dxfId="1295" priority="1588" operator="greaterThanOrEqual">
      <formula>1475</formula>
    </cfRule>
    <cfRule type="cellIs" dxfId="1294" priority="1589" operator="greaterThanOrEqual">
      <formula>1450</formula>
    </cfRule>
    <cfRule type="cellIs" dxfId="1293" priority="1590" operator="greaterThanOrEqual">
      <formula>1400</formula>
    </cfRule>
  </conditionalFormatting>
  <conditionalFormatting sqref="J3">
    <cfRule type="cellIs" dxfId="1292" priority="1585" operator="greaterThan">
      <formula>10000</formula>
    </cfRule>
  </conditionalFormatting>
  <conditionalFormatting sqref="J3">
    <cfRule type="cellIs" dxfId="1291" priority="1579" operator="greaterThan">
      <formula>10000</formula>
    </cfRule>
    <cfRule type="cellIs" dxfId="1290" priority="1581" operator="greaterThanOrEqual">
      <formula>1550</formula>
    </cfRule>
    <cfRule type="cellIs" dxfId="1289" priority="1582" operator="greaterThanOrEqual">
      <formula>1525</formula>
    </cfRule>
    <cfRule type="cellIs" dxfId="1288" priority="1583" operator="greaterThanOrEqual">
      <formula>1475</formula>
    </cfRule>
    <cfRule type="cellIs" dxfId="1287" priority="1584" operator="greaterThanOrEqual">
      <formula>1400</formula>
    </cfRule>
  </conditionalFormatting>
  <conditionalFormatting sqref="J3">
    <cfRule type="cellIs" dxfId="1286" priority="1580" operator="greaterThan">
      <formula>1600</formula>
    </cfRule>
  </conditionalFormatting>
  <conditionalFormatting sqref="H201">
    <cfRule type="cellIs" dxfId="1285" priority="1568" operator="greaterThan">
      <formula>10000</formula>
    </cfRule>
  </conditionalFormatting>
  <conditionalFormatting sqref="H201">
    <cfRule type="cellIs" dxfId="1284" priority="1562" operator="greaterThan">
      <formula>10000</formula>
    </cfRule>
    <cfRule type="cellIs" dxfId="1283" priority="1564" operator="greaterThanOrEqual">
      <formula>1550</formula>
    </cfRule>
    <cfRule type="cellIs" dxfId="1282" priority="1565" operator="greaterThanOrEqual">
      <formula>1525</formula>
    </cfRule>
    <cfRule type="cellIs" dxfId="1281" priority="1566" operator="greaterThanOrEqual">
      <formula>1475</formula>
    </cfRule>
    <cfRule type="cellIs" dxfId="1280" priority="1567" operator="greaterThanOrEqual">
      <formula>1400</formula>
    </cfRule>
  </conditionalFormatting>
  <conditionalFormatting sqref="H201">
    <cfRule type="cellIs" dxfId="1279" priority="1563" operator="greaterThan">
      <formula>1600</formula>
    </cfRule>
  </conditionalFormatting>
  <conditionalFormatting sqref="E201">
    <cfRule type="cellIs" dxfId="1278" priority="1561" operator="between">
      <formula>0.1</formula>
      <formula>35</formula>
    </cfRule>
  </conditionalFormatting>
  <conditionalFormatting sqref="B201:D201">
    <cfRule type="cellIs" dxfId="1277" priority="1559" operator="between">
      <formula>0.1</formula>
      <formula>15</formula>
    </cfRule>
  </conditionalFormatting>
  <conditionalFormatting sqref="K201">
    <cfRule type="cellIs" dxfId="1276" priority="1548" operator="greaterThan">
      <formula>10000</formula>
    </cfRule>
    <cfRule type="cellIs" dxfId="1275" priority="1549" operator="greaterThanOrEqual">
      <formula>1500</formula>
    </cfRule>
    <cfRule type="cellIs" dxfId="1274" priority="1550" operator="greaterThanOrEqual">
      <formula>1450</formula>
    </cfRule>
    <cfRule type="cellIs" dxfId="1273" priority="1551" operator="greaterThan">
      <formula>1400</formula>
    </cfRule>
  </conditionalFormatting>
  <conditionalFormatting sqref="K201">
    <cfRule type="cellIs" dxfId="1272" priority="1543" operator="greaterThan">
      <formula>10000</formula>
    </cfRule>
    <cfRule type="cellIs" dxfId="1271" priority="1544" operator="greaterThanOrEqual">
      <formula>1500</formula>
    </cfRule>
    <cfRule type="cellIs" dxfId="1270" priority="1545" operator="greaterThanOrEqual">
      <formula>1475</formula>
    </cfRule>
    <cfRule type="cellIs" dxfId="1269" priority="1546" operator="greaterThanOrEqual">
      <formula>1450</formula>
    </cfRule>
    <cfRule type="cellIs" dxfId="1268" priority="1547" operator="greaterThanOrEqual">
      <formula>1400</formula>
    </cfRule>
  </conditionalFormatting>
  <conditionalFormatting sqref="K201">
    <cfRule type="cellIs" dxfId="1267" priority="1539" operator="greaterThan">
      <formula>10000</formula>
    </cfRule>
    <cfRule type="cellIs" dxfId="1266" priority="1540" operator="greaterThanOrEqual">
      <formula>1500</formula>
    </cfRule>
    <cfRule type="cellIs" dxfId="1265" priority="1541" operator="greaterThanOrEqual">
      <formula>1450</formula>
    </cfRule>
    <cfRule type="cellIs" dxfId="1264" priority="1542" operator="greaterThan">
      <formula>1400</formula>
    </cfRule>
  </conditionalFormatting>
  <conditionalFormatting sqref="K201">
    <cfRule type="cellIs" dxfId="1263" priority="1534" operator="greaterThan">
      <formula>10000</formula>
    </cfRule>
    <cfRule type="cellIs" dxfId="1262" priority="1535" operator="greaterThanOrEqual">
      <formula>1500</formula>
    </cfRule>
    <cfRule type="cellIs" dxfId="1261" priority="1536" operator="greaterThanOrEqual">
      <formula>1475</formula>
    </cfRule>
    <cfRule type="cellIs" dxfId="1260" priority="1537" operator="greaterThanOrEqual">
      <formula>1450</formula>
    </cfRule>
    <cfRule type="cellIs" dxfId="1259" priority="1538" operator="greaterThanOrEqual">
      <formula>1400</formula>
    </cfRule>
  </conditionalFormatting>
  <conditionalFormatting sqref="J201">
    <cfRule type="cellIs" dxfId="1258" priority="1533" operator="greaterThan">
      <formula>10000</formula>
    </cfRule>
  </conditionalFormatting>
  <conditionalFormatting sqref="J201">
    <cfRule type="cellIs" dxfId="1257" priority="1527" operator="greaterThan">
      <formula>10000</formula>
    </cfRule>
    <cfRule type="cellIs" dxfId="1256" priority="1529" operator="greaterThanOrEqual">
      <formula>1550</formula>
    </cfRule>
    <cfRule type="cellIs" dxfId="1255" priority="1530" operator="greaterThanOrEqual">
      <formula>1525</formula>
    </cfRule>
    <cfRule type="cellIs" dxfId="1254" priority="1531" operator="greaterThanOrEqual">
      <formula>1475</formula>
    </cfRule>
    <cfRule type="cellIs" dxfId="1253" priority="1532" operator="greaterThanOrEqual">
      <formula>1400</formula>
    </cfRule>
  </conditionalFormatting>
  <conditionalFormatting sqref="J201">
    <cfRule type="cellIs" dxfId="1252" priority="1528" operator="greaterThan">
      <formula>1600</formula>
    </cfRule>
  </conditionalFormatting>
  <conditionalFormatting sqref="I223">
    <cfRule type="cellIs" dxfId="1251" priority="1526" operator="greaterThan">
      <formula>10000</formula>
    </cfRule>
  </conditionalFormatting>
  <conditionalFormatting sqref="I223">
    <cfRule type="cellIs" dxfId="1250" priority="1520" operator="greaterThan">
      <formula>10000</formula>
    </cfRule>
    <cfRule type="cellIs" dxfId="1249" priority="1522" operator="greaterThanOrEqual">
      <formula>1550</formula>
    </cfRule>
    <cfRule type="cellIs" dxfId="1248" priority="1523" operator="greaterThanOrEqual">
      <formula>1525</formula>
    </cfRule>
    <cfRule type="cellIs" dxfId="1247" priority="1524" operator="greaterThanOrEqual">
      <formula>1475</formula>
    </cfRule>
    <cfRule type="cellIs" dxfId="1246" priority="1525" operator="greaterThanOrEqual">
      <formula>1400</formula>
    </cfRule>
  </conditionalFormatting>
  <conditionalFormatting sqref="I223">
    <cfRule type="cellIs" dxfId="1245" priority="1521" operator="greaterThan">
      <formula>1600</formula>
    </cfRule>
  </conditionalFormatting>
  <conditionalFormatting sqref="J223">
    <cfRule type="cellIs" dxfId="1244" priority="1510" operator="greaterThan">
      <formula>10000</formula>
    </cfRule>
  </conditionalFormatting>
  <conditionalFormatting sqref="K223">
    <cfRule type="cellIs" dxfId="1243" priority="1516" operator="greaterThan">
      <formula>10000</formula>
    </cfRule>
    <cfRule type="cellIs" dxfId="1242" priority="1517" operator="greaterThanOrEqual">
      <formula>1500</formula>
    </cfRule>
    <cfRule type="cellIs" dxfId="1241" priority="1518" operator="greaterThanOrEqual">
      <formula>1450</formula>
    </cfRule>
    <cfRule type="cellIs" dxfId="1240" priority="1519" operator="greaterThan">
      <formula>1400</formula>
    </cfRule>
  </conditionalFormatting>
  <conditionalFormatting sqref="K223">
    <cfRule type="cellIs" dxfId="1239" priority="1511" operator="greaterThan">
      <formula>10000</formula>
    </cfRule>
    <cfRule type="cellIs" dxfId="1238" priority="1512" operator="greaterThanOrEqual">
      <formula>1500</formula>
    </cfRule>
    <cfRule type="cellIs" dxfId="1237" priority="1513" operator="greaterThanOrEqual">
      <formula>1475</formula>
    </cfRule>
    <cfRule type="cellIs" dxfId="1236" priority="1514" operator="greaterThanOrEqual">
      <formula>1450</formula>
    </cfRule>
    <cfRule type="cellIs" dxfId="1235" priority="1515" operator="greaterThanOrEqual">
      <formula>1400</formula>
    </cfRule>
  </conditionalFormatting>
  <conditionalFormatting sqref="J223">
    <cfRule type="cellIs" dxfId="1234" priority="1504" operator="greaterThan">
      <formula>10000</formula>
    </cfRule>
    <cfRule type="cellIs" dxfId="1233" priority="1506" operator="greaterThanOrEqual">
      <formula>1550</formula>
    </cfRule>
    <cfRule type="cellIs" dxfId="1232" priority="1507" operator="greaterThanOrEqual">
      <formula>1525</formula>
    </cfRule>
    <cfRule type="cellIs" dxfId="1231" priority="1508" operator="greaterThanOrEqual">
      <formula>1475</formula>
    </cfRule>
    <cfRule type="cellIs" dxfId="1230" priority="1509" operator="greaterThanOrEqual">
      <formula>1400</formula>
    </cfRule>
  </conditionalFormatting>
  <conditionalFormatting sqref="J223">
    <cfRule type="cellIs" dxfId="1229" priority="1505" operator="greaterThan">
      <formula>1600</formula>
    </cfRule>
  </conditionalFormatting>
  <conditionalFormatting sqref="I176:J176">
    <cfRule type="cellIs" dxfId="1228" priority="1500" operator="greaterThan">
      <formula>10000</formula>
    </cfRule>
  </conditionalFormatting>
  <conditionalFormatting sqref="I176:J176">
    <cfRule type="cellIs" dxfId="1227" priority="1494" operator="greaterThan">
      <formula>10000</formula>
    </cfRule>
    <cfRule type="cellIs" dxfId="1226" priority="1496" operator="greaterThanOrEqual">
      <formula>1550</formula>
    </cfRule>
    <cfRule type="cellIs" dxfId="1225" priority="1497" operator="greaterThanOrEqual">
      <formula>1525</formula>
    </cfRule>
    <cfRule type="cellIs" dxfId="1224" priority="1498" operator="greaterThanOrEqual">
      <formula>1475</formula>
    </cfRule>
    <cfRule type="cellIs" dxfId="1223" priority="1499" operator="greaterThanOrEqual">
      <formula>1400</formula>
    </cfRule>
  </conditionalFormatting>
  <conditionalFormatting sqref="I176:J176">
    <cfRule type="cellIs" dxfId="1222" priority="1495" operator="greaterThan">
      <formula>1600</formula>
    </cfRule>
  </conditionalFormatting>
  <conditionalFormatting sqref="K176">
    <cfRule type="cellIs" dxfId="1221" priority="1490" operator="greaterThan">
      <formula>10000</formula>
    </cfRule>
    <cfRule type="cellIs" dxfId="1220" priority="1491" operator="greaterThanOrEqual">
      <formula>1500</formula>
    </cfRule>
    <cfRule type="cellIs" dxfId="1219" priority="1492" operator="greaterThanOrEqual">
      <formula>1450</formula>
    </cfRule>
    <cfRule type="cellIs" dxfId="1218" priority="1493" operator="greaterThan">
      <formula>1400</formula>
    </cfRule>
  </conditionalFormatting>
  <conditionalFormatting sqref="K176">
    <cfRule type="cellIs" dxfId="1217" priority="1485" operator="greaterThan">
      <formula>10000</formula>
    </cfRule>
    <cfRule type="cellIs" dxfId="1216" priority="1486" operator="greaterThanOrEqual">
      <formula>1500</formula>
    </cfRule>
    <cfRule type="cellIs" dxfId="1215" priority="1487" operator="greaterThanOrEqual">
      <formula>1475</formula>
    </cfRule>
    <cfRule type="cellIs" dxfId="1214" priority="1488" operator="greaterThanOrEqual">
      <formula>1450</formula>
    </cfRule>
    <cfRule type="cellIs" dxfId="1213" priority="1489" operator="greaterThanOrEqual">
      <formula>1400</formula>
    </cfRule>
  </conditionalFormatting>
  <conditionalFormatting sqref="K176">
    <cfRule type="cellIs" dxfId="1212" priority="1481" operator="greaterThan">
      <formula>10000</formula>
    </cfRule>
    <cfRule type="cellIs" dxfId="1211" priority="1482" operator="greaterThanOrEqual">
      <formula>1500</formula>
    </cfRule>
    <cfRule type="cellIs" dxfId="1210" priority="1483" operator="greaterThanOrEqual">
      <formula>1450</formula>
    </cfRule>
    <cfRule type="cellIs" dxfId="1209" priority="1484" operator="greaterThan">
      <formula>1400</formula>
    </cfRule>
  </conditionalFormatting>
  <conditionalFormatting sqref="K176">
    <cfRule type="cellIs" dxfId="1208" priority="1476" operator="greaterThan">
      <formula>10000</formula>
    </cfRule>
    <cfRule type="cellIs" dxfId="1207" priority="1477" operator="greaterThanOrEqual">
      <formula>1500</formula>
    </cfRule>
    <cfRule type="cellIs" dxfId="1206" priority="1478" operator="greaterThanOrEqual">
      <formula>1475</formula>
    </cfRule>
    <cfRule type="cellIs" dxfId="1205" priority="1479" operator="greaterThanOrEqual">
      <formula>1450</formula>
    </cfRule>
    <cfRule type="cellIs" dxfId="1204" priority="1480" operator="greaterThanOrEqual">
      <formula>1400</formula>
    </cfRule>
  </conditionalFormatting>
  <conditionalFormatting sqref="K176">
    <cfRule type="cellIs" dxfId="1203" priority="1472" operator="greaterThan">
      <formula>10000</formula>
    </cfRule>
    <cfRule type="cellIs" dxfId="1202" priority="1473" operator="greaterThanOrEqual">
      <formula>1500</formula>
    </cfRule>
    <cfRule type="cellIs" dxfId="1201" priority="1474" operator="greaterThanOrEqual">
      <formula>1450</formula>
    </cfRule>
    <cfRule type="cellIs" dxfId="1200" priority="1475" operator="greaterThan">
      <formula>1400</formula>
    </cfRule>
  </conditionalFormatting>
  <conditionalFormatting sqref="K176">
    <cfRule type="cellIs" dxfId="1199" priority="1467" operator="greaterThan">
      <formula>10000</formula>
    </cfRule>
    <cfRule type="cellIs" dxfId="1198" priority="1468" operator="greaterThanOrEqual">
      <formula>1500</formula>
    </cfRule>
    <cfRule type="cellIs" dxfId="1197" priority="1469" operator="greaterThanOrEqual">
      <formula>1475</formula>
    </cfRule>
    <cfRule type="cellIs" dxfId="1196" priority="1470" operator="greaterThanOrEqual">
      <formula>1450</formula>
    </cfRule>
    <cfRule type="cellIs" dxfId="1195" priority="1471" operator="greaterThanOrEqual">
      <formula>1400</formula>
    </cfRule>
  </conditionalFormatting>
  <conditionalFormatting sqref="H200">
    <cfRule type="cellIs" dxfId="1194" priority="1465" operator="greaterThan">
      <formula>10000</formula>
    </cfRule>
  </conditionalFormatting>
  <conditionalFormatting sqref="H200">
    <cfRule type="cellIs" dxfId="1193" priority="1459" operator="greaterThan">
      <formula>10000</formula>
    </cfRule>
    <cfRule type="cellIs" dxfId="1192" priority="1461" operator="greaterThanOrEqual">
      <formula>1550</formula>
    </cfRule>
    <cfRule type="cellIs" dxfId="1191" priority="1462" operator="greaterThanOrEqual">
      <formula>1525</formula>
    </cfRule>
    <cfRule type="cellIs" dxfId="1190" priority="1463" operator="greaterThanOrEqual">
      <formula>1475</formula>
    </cfRule>
    <cfRule type="cellIs" dxfId="1189" priority="1464" operator="greaterThanOrEqual">
      <formula>1400</formula>
    </cfRule>
  </conditionalFormatting>
  <conditionalFormatting sqref="H200">
    <cfRule type="cellIs" dxfId="1188" priority="1460" operator="greaterThan">
      <formula>1600</formula>
    </cfRule>
  </conditionalFormatting>
  <conditionalFormatting sqref="E200">
    <cfRule type="cellIs" dxfId="1187" priority="1458" operator="between">
      <formula>0.1</formula>
      <formula>35</formula>
    </cfRule>
  </conditionalFormatting>
  <conditionalFormatting sqref="B200:D200">
    <cfRule type="cellIs" dxfId="1186" priority="1456" operator="between">
      <formula>0.1</formula>
      <formula>15</formula>
    </cfRule>
  </conditionalFormatting>
  <conditionalFormatting sqref="I200">
    <cfRule type="cellIs" dxfId="1185" priority="1455" operator="greaterThan">
      <formula>10000</formula>
    </cfRule>
  </conditionalFormatting>
  <conditionalFormatting sqref="I200">
    <cfRule type="cellIs" dxfId="1184" priority="1449" operator="greaterThan">
      <formula>10000</formula>
    </cfRule>
    <cfRule type="cellIs" dxfId="1183" priority="1451" operator="greaterThanOrEqual">
      <formula>1550</formula>
    </cfRule>
    <cfRule type="cellIs" dxfId="1182" priority="1452" operator="greaterThanOrEqual">
      <formula>1525</formula>
    </cfRule>
    <cfRule type="cellIs" dxfId="1181" priority="1453" operator="greaterThanOrEqual">
      <formula>1475</formula>
    </cfRule>
    <cfRule type="cellIs" dxfId="1180" priority="1454" operator="greaterThanOrEqual">
      <formula>1400</formula>
    </cfRule>
  </conditionalFormatting>
  <conditionalFormatting sqref="I200">
    <cfRule type="cellIs" dxfId="1179" priority="1450" operator="greaterThan">
      <formula>1600</formula>
    </cfRule>
  </conditionalFormatting>
  <conditionalFormatting sqref="K200">
    <cfRule type="cellIs" dxfId="1178" priority="1445" operator="greaterThan">
      <formula>10000</formula>
    </cfRule>
    <cfRule type="cellIs" dxfId="1177" priority="1446" operator="greaterThanOrEqual">
      <formula>1500</formula>
    </cfRule>
    <cfRule type="cellIs" dxfId="1176" priority="1447" operator="greaterThanOrEqual">
      <formula>1450</formula>
    </cfRule>
    <cfRule type="cellIs" dxfId="1175" priority="1448" operator="greaterThan">
      <formula>1400</formula>
    </cfRule>
  </conditionalFormatting>
  <conditionalFormatting sqref="K200">
    <cfRule type="cellIs" dxfId="1174" priority="1440" operator="greaterThan">
      <formula>10000</formula>
    </cfRule>
    <cfRule type="cellIs" dxfId="1173" priority="1441" operator="greaterThanOrEqual">
      <formula>1500</formula>
    </cfRule>
    <cfRule type="cellIs" dxfId="1172" priority="1442" operator="greaterThanOrEqual">
      <formula>1475</formula>
    </cfRule>
    <cfRule type="cellIs" dxfId="1171" priority="1443" operator="greaterThanOrEqual">
      <formula>1450</formula>
    </cfRule>
    <cfRule type="cellIs" dxfId="1170" priority="1444" operator="greaterThanOrEqual">
      <formula>1400</formula>
    </cfRule>
  </conditionalFormatting>
  <conditionalFormatting sqref="K200">
    <cfRule type="cellIs" dxfId="1169" priority="1436" operator="greaterThan">
      <formula>10000</formula>
    </cfRule>
    <cfRule type="cellIs" dxfId="1168" priority="1437" operator="greaterThanOrEqual">
      <formula>1500</formula>
    </cfRule>
    <cfRule type="cellIs" dxfId="1167" priority="1438" operator="greaterThanOrEqual">
      <formula>1450</formula>
    </cfRule>
    <cfRule type="cellIs" dxfId="1166" priority="1439" operator="greaterThan">
      <formula>1400</formula>
    </cfRule>
  </conditionalFormatting>
  <conditionalFormatting sqref="K200">
    <cfRule type="cellIs" dxfId="1165" priority="1431" operator="greaterThan">
      <formula>10000</formula>
    </cfRule>
    <cfRule type="cellIs" dxfId="1164" priority="1432" operator="greaterThanOrEqual">
      <formula>1500</formula>
    </cfRule>
    <cfRule type="cellIs" dxfId="1163" priority="1433" operator="greaterThanOrEqual">
      <formula>1475</formula>
    </cfRule>
    <cfRule type="cellIs" dxfId="1162" priority="1434" operator="greaterThanOrEqual">
      <formula>1450</formula>
    </cfRule>
    <cfRule type="cellIs" dxfId="1161" priority="1435" operator="greaterThanOrEqual">
      <formula>1400</formula>
    </cfRule>
  </conditionalFormatting>
  <conditionalFormatting sqref="J200">
    <cfRule type="cellIs" dxfId="1160" priority="1430" operator="greaterThan">
      <formula>10000</formula>
    </cfRule>
  </conditionalFormatting>
  <conditionalFormatting sqref="J200">
    <cfRule type="cellIs" dxfId="1159" priority="1424" operator="greaterThan">
      <formula>10000</formula>
    </cfRule>
    <cfRule type="cellIs" dxfId="1158" priority="1426" operator="greaterThanOrEqual">
      <formula>1550</formula>
    </cfRule>
    <cfRule type="cellIs" dxfId="1157" priority="1427" operator="greaterThanOrEqual">
      <formula>1525</formula>
    </cfRule>
    <cfRule type="cellIs" dxfId="1156" priority="1428" operator="greaterThanOrEqual">
      <formula>1475</formula>
    </cfRule>
    <cfRule type="cellIs" dxfId="1155" priority="1429" operator="greaterThanOrEqual">
      <formula>1400</formula>
    </cfRule>
  </conditionalFormatting>
  <conditionalFormatting sqref="J200">
    <cfRule type="cellIs" dxfId="1154" priority="1425" operator="greaterThan">
      <formula>1600</formula>
    </cfRule>
  </conditionalFormatting>
  <conditionalFormatting sqref="H222">
    <cfRule type="cellIs" dxfId="1153" priority="1422" operator="greaterThan">
      <formula>10000</formula>
    </cfRule>
  </conditionalFormatting>
  <conditionalFormatting sqref="H222">
    <cfRule type="cellIs" dxfId="1152" priority="1416" operator="greaterThan">
      <formula>10000</formula>
    </cfRule>
    <cfRule type="cellIs" dxfId="1151" priority="1418" operator="greaterThanOrEqual">
      <formula>1550</formula>
    </cfRule>
    <cfRule type="cellIs" dxfId="1150" priority="1419" operator="greaterThanOrEqual">
      <formula>1525</formula>
    </cfRule>
    <cfRule type="cellIs" dxfId="1149" priority="1420" operator="greaterThanOrEqual">
      <formula>1475</formula>
    </cfRule>
    <cfRule type="cellIs" dxfId="1148" priority="1421" operator="greaterThanOrEqual">
      <formula>1400</formula>
    </cfRule>
  </conditionalFormatting>
  <conditionalFormatting sqref="H222">
    <cfRule type="cellIs" dxfId="1147" priority="1417" operator="greaterThan">
      <formula>1600</formula>
    </cfRule>
  </conditionalFormatting>
  <conditionalFormatting sqref="E222">
    <cfRule type="cellIs" dxfId="1146" priority="1415" operator="between">
      <formula>0.1</formula>
      <formula>35</formula>
    </cfRule>
  </conditionalFormatting>
  <conditionalFormatting sqref="B222:D222">
    <cfRule type="cellIs" dxfId="1145" priority="1413" operator="between">
      <formula>0.1</formula>
      <formula>15</formula>
    </cfRule>
  </conditionalFormatting>
  <conditionalFormatting sqref="I222">
    <cfRule type="cellIs" dxfId="1144" priority="1412" operator="greaterThan">
      <formula>10000</formula>
    </cfRule>
  </conditionalFormatting>
  <conditionalFormatting sqref="I222">
    <cfRule type="cellIs" dxfId="1143" priority="1406" operator="greaterThan">
      <formula>10000</formula>
    </cfRule>
    <cfRule type="cellIs" dxfId="1142" priority="1408" operator="greaterThanOrEqual">
      <formula>1550</formula>
    </cfRule>
    <cfRule type="cellIs" dxfId="1141" priority="1409" operator="greaterThanOrEqual">
      <formula>1525</formula>
    </cfRule>
    <cfRule type="cellIs" dxfId="1140" priority="1410" operator="greaterThanOrEqual">
      <formula>1475</formula>
    </cfRule>
    <cfRule type="cellIs" dxfId="1139" priority="1411" operator="greaterThanOrEqual">
      <formula>1400</formula>
    </cfRule>
  </conditionalFormatting>
  <conditionalFormatting sqref="I222">
    <cfRule type="cellIs" dxfId="1138" priority="1407" operator="greaterThan">
      <formula>1600</formula>
    </cfRule>
  </conditionalFormatting>
  <conditionalFormatting sqref="J222">
    <cfRule type="cellIs" dxfId="1137" priority="1396" operator="greaterThan">
      <formula>10000</formula>
    </cfRule>
  </conditionalFormatting>
  <conditionalFormatting sqref="K222">
    <cfRule type="cellIs" dxfId="1136" priority="1402" operator="greaterThan">
      <formula>10000</formula>
    </cfRule>
    <cfRule type="cellIs" dxfId="1135" priority="1403" operator="greaterThanOrEqual">
      <formula>1500</formula>
    </cfRule>
    <cfRule type="cellIs" dxfId="1134" priority="1404" operator="greaterThanOrEqual">
      <formula>1450</formula>
    </cfRule>
    <cfRule type="cellIs" dxfId="1133" priority="1405" operator="greaterThan">
      <formula>1400</formula>
    </cfRule>
  </conditionalFormatting>
  <conditionalFormatting sqref="K222">
    <cfRule type="cellIs" dxfId="1132" priority="1397" operator="greaterThan">
      <formula>10000</formula>
    </cfRule>
    <cfRule type="cellIs" dxfId="1131" priority="1398" operator="greaterThanOrEqual">
      <formula>1500</formula>
    </cfRule>
    <cfRule type="cellIs" dxfId="1130" priority="1399" operator="greaterThanOrEqual">
      <formula>1475</formula>
    </cfRule>
    <cfRule type="cellIs" dxfId="1129" priority="1400" operator="greaterThanOrEqual">
      <formula>1450</formula>
    </cfRule>
    <cfRule type="cellIs" dxfId="1128" priority="1401" operator="greaterThanOrEqual">
      <formula>1400</formula>
    </cfRule>
  </conditionalFormatting>
  <conditionalFormatting sqref="J222">
    <cfRule type="cellIs" dxfId="1127" priority="1390" operator="greaterThan">
      <formula>10000</formula>
    </cfRule>
    <cfRule type="cellIs" dxfId="1126" priority="1392" operator="greaterThanOrEqual">
      <formula>1550</formula>
    </cfRule>
    <cfRule type="cellIs" dxfId="1125" priority="1393" operator="greaterThanOrEqual">
      <formula>1525</formula>
    </cfRule>
    <cfRule type="cellIs" dxfId="1124" priority="1394" operator="greaterThanOrEqual">
      <formula>1475</formula>
    </cfRule>
    <cfRule type="cellIs" dxfId="1123" priority="1395" operator="greaterThanOrEqual">
      <formula>1400</formula>
    </cfRule>
  </conditionalFormatting>
  <conditionalFormatting sqref="J222">
    <cfRule type="cellIs" dxfId="1122" priority="1391" operator="greaterThan">
      <formula>1600</formula>
    </cfRule>
  </conditionalFormatting>
  <conditionalFormatting sqref="H202 H205 J202 J205">
    <cfRule type="cellIs" dxfId="1121" priority="1372" operator="greaterThan">
      <formula>10000</formula>
    </cfRule>
  </conditionalFormatting>
  <conditionalFormatting sqref="H202 H205 J202 J205">
    <cfRule type="cellIs" dxfId="1120" priority="1366" operator="greaterThan">
      <formula>10000</formula>
    </cfRule>
    <cfRule type="cellIs" dxfId="1119" priority="1368" operator="greaterThanOrEqual">
      <formula>1550</formula>
    </cfRule>
    <cfRule type="cellIs" dxfId="1118" priority="1369" operator="greaterThanOrEqual">
      <formula>1525</formula>
    </cfRule>
    <cfRule type="cellIs" dxfId="1117" priority="1370" operator="greaterThanOrEqual">
      <formula>1475</formula>
    </cfRule>
    <cfRule type="cellIs" dxfId="1116" priority="1371" operator="greaterThanOrEqual">
      <formula>1400</formula>
    </cfRule>
  </conditionalFormatting>
  <conditionalFormatting sqref="H202 H205 J202 J205">
    <cfRule type="cellIs" dxfId="1115" priority="1367" operator="greaterThan">
      <formula>1600</formula>
    </cfRule>
  </conditionalFormatting>
  <conditionalFormatting sqref="E202 E205">
    <cfRule type="cellIs" dxfId="1114" priority="1365" operator="between">
      <formula>0.1</formula>
      <formula>35</formula>
    </cfRule>
  </conditionalFormatting>
  <conditionalFormatting sqref="B202:D202 B205:D205">
    <cfRule type="cellIs" dxfId="1113" priority="1363" operator="between">
      <formula>0.1</formula>
      <formula>15</formula>
    </cfRule>
  </conditionalFormatting>
  <conditionalFormatting sqref="F182:F202 F205">
    <cfRule type="top10" priority="1356" bottom="1" rank="3"/>
  </conditionalFormatting>
  <conditionalFormatting sqref="F182:F202 F205">
    <cfRule type="cellIs" dxfId="1112" priority="1355" operator="between">
      <formula>0.1</formula>
      <formula>89</formula>
    </cfRule>
  </conditionalFormatting>
  <conditionalFormatting sqref="F208:F225">
    <cfRule type="top10" priority="1354" bottom="1" rank="3"/>
  </conditionalFormatting>
  <conditionalFormatting sqref="F208:F225">
    <cfRule type="cellIs" dxfId="1111" priority="1353" operator="between">
      <formula>0.1</formula>
      <formula>89</formula>
    </cfRule>
  </conditionalFormatting>
  <conditionalFormatting sqref="H203:H204 J203:J204">
    <cfRule type="cellIs" dxfId="1110" priority="1343" operator="greaterThan">
      <formula>10000</formula>
    </cfRule>
  </conditionalFormatting>
  <conditionalFormatting sqref="H203:H204 J203:J204">
    <cfRule type="cellIs" dxfId="1109" priority="1337" operator="greaterThan">
      <formula>10000</formula>
    </cfRule>
    <cfRule type="cellIs" dxfId="1108" priority="1339" operator="greaterThanOrEqual">
      <formula>1550</formula>
    </cfRule>
    <cfRule type="cellIs" dxfId="1107" priority="1340" operator="greaterThanOrEqual">
      <formula>1525</formula>
    </cfRule>
    <cfRule type="cellIs" dxfId="1106" priority="1341" operator="greaterThanOrEqual">
      <formula>1475</formula>
    </cfRule>
    <cfRule type="cellIs" dxfId="1105" priority="1342" operator="greaterThanOrEqual">
      <formula>1400</formula>
    </cfRule>
  </conditionalFormatting>
  <conditionalFormatting sqref="H203:H204 J203:J204">
    <cfRule type="cellIs" dxfId="1104" priority="1338" operator="greaterThan">
      <formula>1600</formula>
    </cfRule>
  </conditionalFormatting>
  <conditionalFormatting sqref="E203:E204">
    <cfRule type="cellIs" dxfId="1103" priority="1336" operator="between">
      <formula>0.1</formula>
      <formula>35</formula>
    </cfRule>
  </conditionalFormatting>
  <conditionalFormatting sqref="B203:D204">
    <cfRule type="cellIs" dxfId="1102" priority="1335" operator="between">
      <formula>0.1</formula>
      <formula>15</formula>
    </cfRule>
  </conditionalFormatting>
  <conditionalFormatting sqref="F203">
    <cfRule type="top10" priority="1334" bottom="1" rank="3"/>
  </conditionalFormatting>
  <conditionalFormatting sqref="F203">
    <cfRule type="cellIs" dxfId="1101" priority="1333" operator="between">
      <formula>0.1</formula>
      <formula>89</formula>
    </cfRule>
  </conditionalFormatting>
  <conditionalFormatting sqref="F204">
    <cfRule type="top10" priority="1332" bottom="1" rank="3"/>
  </conditionalFormatting>
  <conditionalFormatting sqref="F204">
    <cfRule type="cellIs" dxfId="1100" priority="1331" operator="between">
      <formula>0.1</formula>
      <formula>89</formula>
    </cfRule>
  </conditionalFormatting>
  <conditionalFormatting sqref="H206">
    <cfRule type="cellIs" dxfId="1099" priority="1320" operator="greaterThan">
      <formula>10000</formula>
    </cfRule>
  </conditionalFormatting>
  <conditionalFormatting sqref="H206">
    <cfRule type="cellIs" dxfId="1098" priority="1314" operator="greaterThan">
      <formula>10000</formula>
    </cfRule>
    <cfRule type="cellIs" dxfId="1097" priority="1316" operator="greaterThanOrEqual">
      <formula>1550</formula>
    </cfRule>
    <cfRule type="cellIs" dxfId="1096" priority="1317" operator="greaterThanOrEqual">
      <formula>1525</formula>
    </cfRule>
    <cfRule type="cellIs" dxfId="1095" priority="1318" operator="greaterThanOrEqual">
      <formula>1475</formula>
    </cfRule>
    <cfRule type="cellIs" dxfId="1094" priority="1319" operator="greaterThanOrEqual">
      <formula>1400</formula>
    </cfRule>
  </conditionalFormatting>
  <conditionalFormatting sqref="H206">
    <cfRule type="cellIs" dxfId="1093" priority="1315" operator="greaterThan">
      <formula>1600</formula>
    </cfRule>
  </conditionalFormatting>
  <conditionalFormatting sqref="E206">
    <cfRule type="cellIs" dxfId="1092" priority="1313" operator="between">
      <formula>0.1</formula>
      <formula>35</formula>
    </cfRule>
  </conditionalFormatting>
  <conditionalFormatting sqref="B206:D206">
    <cfRule type="cellIs" dxfId="1091" priority="1311" operator="between">
      <formula>0.1</formula>
      <formula>15</formula>
    </cfRule>
  </conditionalFormatting>
  <conditionalFormatting sqref="I201">
    <cfRule type="cellIs" dxfId="1090" priority="1310" operator="greaterThan">
      <formula>10000</formula>
    </cfRule>
  </conditionalFormatting>
  <conditionalFormatting sqref="I201">
    <cfRule type="cellIs" dxfId="1089" priority="1304" operator="greaterThan">
      <formula>10000</formula>
    </cfRule>
    <cfRule type="cellIs" dxfId="1088" priority="1306" operator="greaterThanOrEqual">
      <formula>1550</formula>
    </cfRule>
    <cfRule type="cellIs" dxfId="1087" priority="1307" operator="greaterThanOrEqual">
      <formula>1525</formula>
    </cfRule>
    <cfRule type="cellIs" dxfId="1086" priority="1308" operator="greaterThanOrEqual">
      <formula>1475</formula>
    </cfRule>
    <cfRule type="cellIs" dxfId="1085" priority="1309" operator="greaterThanOrEqual">
      <formula>1400</formula>
    </cfRule>
  </conditionalFormatting>
  <conditionalFormatting sqref="I201">
    <cfRule type="cellIs" dxfId="1084" priority="1305" operator="greaterThan">
      <formula>1600</formula>
    </cfRule>
  </conditionalFormatting>
  <conditionalFormatting sqref="I202">
    <cfRule type="cellIs" dxfId="1083" priority="1303" operator="greaterThan">
      <formula>10000</formula>
    </cfRule>
  </conditionalFormatting>
  <conditionalFormatting sqref="I202">
    <cfRule type="cellIs" dxfId="1082" priority="1297" operator="greaterThan">
      <formula>10000</formula>
    </cfRule>
    <cfRule type="cellIs" dxfId="1081" priority="1299" operator="greaterThanOrEqual">
      <formula>1550</formula>
    </cfRule>
    <cfRule type="cellIs" dxfId="1080" priority="1300" operator="greaterThanOrEqual">
      <formula>1525</formula>
    </cfRule>
    <cfRule type="cellIs" dxfId="1079" priority="1301" operator="greaterThanOrEqual">
      <formula>1475</formula>
    </cfRule>
    <cfRule type="cellIs" dxfId="1078" priority="1302" operator="greaterThanOrEqual">
      <formula>1400</formula>
    </cfRule>
  </conditionalFormatting>
  <conditionalFormatting sqref="I202">
    <cfRule type="cellIs" dxfId="1077" priority="1298" operator="greaterThan">
      <formula>1600</formula>
    </cfRule>
  </conditionalFormatting>
  <conditionalFormatting sqref="I203">
    <cfRule type="cellIs" dxfId="1076" priority="1296" operator="greaterThan">
      <formula>10000</formula>
    </cfRule>
  </conditionalFormatting>
  <conditionalFormatting sqref="I203">
    <cfRule type="cellIs" dxfId="1075" priority="1290" operator="greaterThan">
      <formula>10000</formula>
    </cfRule>
    <cfRule type="cellIs" dxfId="1074" priority="1292" operator="greaterThanOrEqual">
      <formula>1550</formula>
    </cfRule>
    <cfRule type="cellIs" dxfId="1073" priority="1293" operator="greaterThanOrEqual">
      <formula>1525</formula>
    </cfRule>
    <cfRule type="cellIs" dxfId="1072" priority="1294" operator="greaterThanOrEqual">
      <formula>1475</formula>
    </cfRule>
    <cfRule type="cellIs" dxfId="1071" priority="1295" operator="greaterThanOrEqual">
      <formula>1400</formula>
    </cfRule>
  </conditionalFormatting>
  <conditionalFormatting sqref="I203">
    <cfRule type="cellIs" dxfId="1070" priority="1291" operator="greaterThan">
      <formula>1600</formula>
    </cfRule>
  </conditionalFormatting>
  <conditionalFormatting sqref="I204">
    <cfRule type="cellIs" dxfId="1069" priority="1289" operator="greaterThan">
      <formula>10000</formula>
    </cfRule>
  </conditionalFormatting>
  <conditionalFormatting sqref="I204">
    <cfRule type="cellIs" dxfId="1068" priority="1283" operator="greaterThan">
      <formula>10000</formula>
    </cfRule>
    <cfRule type="cellIs" dxfId="1067" priority="1285" operator="greaterThanOrEqual">
      <formula>1550</formula>
    </cfRule>
    <cfRule type="cellIs" dxfId="1066" priority="1286" operator="greaterThanOrEqual">
      <formula>1525</formula>
    </cfRule>
    <cfRule type="cellIs" dxfId="1065" priority="1287" operator="greaterThanOrEqual">
      <formula>1475</formula>
    </cfRule>
    <cfRule type="cellIs" dxfId="1064" priority="1288" operator="greaterThanOrEqual">
      <formula>1400</formula>
    </cfRule>
  </conditionalFormatting>
  <conditionalFormatting sqref="I204">
    <cfRule type="cellIs" dxfId="1063" priority="1284" operator="greaterThan">
      <formula>1600</formula>
    </cfRule>
  </conditionalFormatting>
  <conditionalFormatting sqref="I205">
    <cfRule type="cellIs" dxfId="1062" priority="1282" operator="greaterThan">
      <formula>10000</formula>
    </cfRule>
  </conditionalFormatting>
  <conditionalFormatting sqref="I205">
    <cfRule type="cellIs" dxfId="1061" priority="1276" operator="greaterThan">
      <formula>10000</formula>
    </cfRule>
    <cfRule type="cellIs" dxfId="1060" priority="1278" operator="greaterThanOrEqual">
      <formula>1550</formula>
    </cfRule>
    <cfRule type="cellIs" dxfId="1059" priority="1279" operator="greaterThanOrEqual">
      <formula>1525</formula>
    </cfRule>
    <cfRule type="cellIs" dxfId="1058" priority="1280" operator="greaterThanOrEqual">
      <formula>1475</formula>
    </cfRule>
    <cfRule type="cellIs" dxfId="1057" priority="1281" operator="greaterThanOrEqual">
      <formula>1400</formula>
    </cfRule>
  </conditionalFormatting>
  <conditionalFormatting sqref="I205">
    <cfRule type="cellIs" dxfId="1056" priority="1277" operator="greaterThan">
      <formula>1600</formula>
    </cfRule>
  </conditionalFormatting>
  <conditionalFormatting sqref="I206">
    <cfRule type="cellIs" dxfId="1055" priority="1275" operator="greaterThan">
      <formula>10000</formula>
    </cfRule>
  </conditionalFormatting>
  <conditionalFormatting sqref="I206">
    <cfRule type="cellIs" dxfId="1054" priority="1269" operator="greaterThan">
      <formula>10000</formula>
    </cfRule>
    <cfRule type="cellIs" dxfId="1053" priority="1271" operator="greaterThanOrEqual">
      <formula>1550</formula>
    </cfRule>
    <cfRule type="cellIs" dxfId="1052" priority="1272" operator="greaterThanOrEqual">
      <formula>1525</formula>
    </cfRule>
    <cfRule type="cellIs" dxfId="1051" priority="1273" operator="greaterThanOrEqual">
      <formula>1475</formula>
    </cfRule>
    <cfRule type="cellIs" dxfId="1050" priority="1274" operator="greaterThanOrEqual">
      <formula>1400</formula>
    </cfRule>
  </conditionalFormatting>
  <conditionalFormatting sqref="I206">
    <cfRule type="cellIs" dxfId="1049" priority="1270" operator="greaterThan">
      <formula>1600</formula>
    </cfRule>
  </conditionalFormatting>
  <conditionalFormatting sqref="I230 I233">
    <cfRule type="cellIs" dxfId="1048" priority="1261" operator="greaterThan">
      <formula>10000</formula>
    </cfRule>
  </conditionalFormatting>
  <conditionalFormatting sqref="I230 I233">
    <cfRule type="cellIs" dxfId="1047" priority="1255" operator="greaterThan">
      <formula>10000</formula>
    </cfRule>
    <cfRule type="cellIs" dxfId="1046" priority="1257" operator="greaterThanOrEqual">
      <formula>1550</formula>
    </cfRule>
    <cfRule type="cellIs" dxfId="1045" priority="1258" operator="greaterThanOrEqual">
      <formula>1525</formula>
    </cfRule>
    <cfRule type="cellIs" dxfId="1044" priority="1259" operator="greaterThanOrEqual">
      <formula>1475</formula>
    </cfRule>
    <cfRule type="cellIs" dxfId="1043" priority="1260" operator="greaterThanOrEqual">
      <formula>1400</formula>
    </cfRule>
  </conditionalFormatting>
  <conditionalFormatting sqref="I230 I233">
    <cfRule type="cellIs" dxfId="1042" priority="1256" operator="greaterThan">
      <formula>1600</formula>
    </cfRule>
  </conditionalFormatting>
  <conditionalFormatting sqref="J230 J233">
    <cfRule type="cellIs" dxfId="1041" priority="1245" operator="greaterThan">
      <formula>10000</formula>
    </cfRule>
  </conditionalFormatting>
  <conditionalFormatting sqref="K233">
    <cfRule type="cellIs" dxfId="1040" priority="1251" operator="greaterThan">
      <formula>10000</formula>
    </cfRule>
    <cfRule type="cellIs" dxfId="1039" priority="1252" operator="greaterThanOrEqual">
      <formula>1500</formula>
    </cfRule>
    <cfRule type="cellIs" dxfId="1038" priority="1253" operator="greaterThanOrEqual">
      <formula>1450</formula>
    </cfRule>
    <cfRule type="cellIs" dxfId="1037" priority="1254" operator="greaterThan">
      <formula>1400</formula>
    </cfRule>
  </conditionalFormatting>
  <conditionalFormatting sqref="K233">
    <cfRule type="cellIs" dxfId="1036" priority="1246" operator="greaterThan">
      <formula>10000</formula>
    </cfRule>
    <cfRule type="cellIs" dxfId="1035" priority="1247" operator="greaterThanOrEqual">
      <formula>1500</formula>
    </cfRule>
    <cfRule type="cellIs" dxfId="1034" priority="1248" operator="greaterThanOrEqual">
      <formula>1475</formula>
    </cfRule>
    <cfRule type="cellIs" dxfId="1033" priority="1249" operator="greaterThanOrEqual">
      <formula>1450</formula>
    </cfRule>
    <cfRule type="cellIs" dxfId="1032" priority="1250" operator="greaterThanOrEqual">
      <formula>1400</formula>
    </cfRule>
  </conditionalFormatting>
  <conditionalFormatting sqref="J230 J233">
    <cfRule type="cellIs" dxfId="1031" priority="1239" operator="greaterThan">
      <formula>10000</formula>
    </cfRule>
    <cfRule type="cellIs" dxfId="1030" priority="1241" operator="greaterThanOrEqual">
      <formula>1550</formula>
    </cfRule>
    <cfRule type="cellIs" dxfId="1029" priority="1242" operator="greaterThanOrEqual">
      <formula>1525</formula>
    </cfRule>
    <cfRule type="cellIs" dxfId="1028" priority="1243" operator="greaterThanOrEqual">
      <formula>1475</formula>
    </cfRule>
    <cfRule type="cellIs" dxfId="1027" priority="1244" operator="greaterThanOrEqual">
      <formula>1400</formula>
    </cfRule>
  </conditionalFormatting>
  <conditionalFormatting sqref="J230 J233">
    <cfRule type="cellIs" dxfId="1026" priority="1240" operator="greaterThan">
      <formula>1600</formula>
    </cfRule>
  </conditionalFormatting>
  <conditionalFormatting sqref="J206">
    <cfRule type="cellIs" dxfId="1025" priority="1229" operator="greaterThan">
      <formula>10000</formula>
    </cfRule>
  </conditionalFormatting>
  <conditionalFormatting sqref="J206">
    <cfRule type="cellIs" dxfId="1024" priority="1223" operator="greaterThan">
      <formula>10000</formula>
    </cfRule>
    <cfRule type="cellIs" dxfId="1023" priority="1225" operator="greaterThanOrEqual">
      <formula>1550</formula>
    </cfRule>
    <cfRule type="cellIs" dxfId="1022" priority="1226" operator="greaterThanOrEqual">
      <formula>1525</formula>
    </cfRule>
    <cfRule type="cellIs" dxfId="1021" priority="1227" operator="greaterThanOrEqual">
      <formula>1475</formula>
    </cfRule>
    <cfRule type="cellIs" dxfId="1020" priority="1228" operator="greaterThanOrEqual">
      <formula>1400</formula>
    </cfRule>
  </conditionalFormatting>
  <conditionalFormatting sqref="J206">
    <cfRule type="cellIs" dxfId="1019" priority="1224" operator="greaterThan">
      <formula>1600</formula>
    </cfRule>
  </conditionalFormatting>
  <conditionalFormatting sqref="K202:K206">
    <cfRule type="cellIs" dxfId="1018" priority="1219" operator="greaterThan">
      <formula>10000</formula>
    </cfRule>
    <cfRule type="cellIs" dxfId="1017" priority="1220" operator="greaterThanOrEqual">
      <formula>1500</formula>
    </cfRule>
    <cfRule type="cellIs" dxfId="1016" priority="1221" operator="greaterThanOrEqual">
      <formula>1450</formula>
    </cfRule>
    <cfRule type="cellIs" dxfId="1015" priority="1222" operator="greaterThan">
      <formula>1400</formula>
    </cfRule>
  </conditionalFormatting>
  <conditionalFormatting sqref="K202:K206">
    <cfRule type="cellIs" dxfId="1014" priority="1214" operator="greaterThan">
      <formula>10000</formula>
    </cfRule>
    <cfRule type="cellIs" dxfId="1013" priority="1215" operator="greaterThanOrEqual">
      <formula>1500</formula>
    </cfRule>
    <cfRule type="cellIs" dxfId="1012" priority="1216" operator="greaterThanOrEqual">
      <formula>1475</formula>
    </cfRule>
    <cfRule type="cellIs" dxfId="1011" priority="1217" operator="greaterThanOrEqual">
      <formula>1450</formula>
    </cfRule>
    <cfRule type="cellIs" dxfId="1010" priority="1218" operator="greaterThanOrEqual">
      <formula>1400</formula>
    </cfRule>
  </conditionalFormatting>
  <conditionalFormatting sqref="K202:K206">
    <cfRule type="cellIs" dxfId="1009" priority="1210" operator="greaterThan">
      <formula>10000</formula>
    </cfRule>
    <cfRule type="cellIs" dxfId="1008" priority="1211" operator="greaterThanOrEqual">
      <formula>1500</formula>
    </cfRule>
    <cfRule type="cellIs" dxfId="1007" priority="1212" operator="greaterThanOrEqual">
      <formula>1450</formula>
    </cfRule>
    <cfRule type="cellIs" dxfId="1006" priority="1213" operator="greaterThan">
      <formula>1400</formula>
    </cfRule>
  </conditionalFormatting>
  <conditionalFormatting sqref="K202:K206">
    <cfRule type="cellIs" dxfId="1005" priority="1205" operator="greaterThan">
      <formula>10000</formula>
    </cfRule>
    <cfRule type="cellIs" dxfId="1004" priority="1206" operator="greaterThanOrEqual">
      <formula>1500</formula>
    </cfRule>
    <cfRule type="cellIs" dxfId="1003" priority="1207" operator="greaterThanOrEqual">
      <formula>1475</formula>
    </cfRule>
    <cfRule type="cellIs" dxfId="1002" priority="1208" operator="greaterThanOrEqual">
      <formula>1450</formula>
    </cfRule>
    <cfRule type="cellIs" dxfId="1001" priority="1209" operator="greaterThanOrEqual">
      <formula>1400</formula>
    </cfRule>
  </conditionalFormatting>
  <conditionalFormatting sqref="F206">
    <cfRule type="top10" priority="1204" bottom="1" rank="3"/>
  </conditionalFormatting>
  <conditionalFormatting sqref="F206">
    <cfRule type="cellIs" dxfId="1000" priority="1203" operator="between">
      <formula>0.1</formula>
      <formula>89</formula>
    </cfRule>
  </conditionalFormatting>
  <conditionalFormatting sqref="I167:J168">
    <cfRule type="cellIs" dxfId="999" priority="1168" operator="greaterThan">
      <formula>10000</formula>
    </cfRule>
  </conditionalFormatting>
  <conditionalFormatting sqref="I167:J168">
    <cfRule type="cellIs" dxfId="998" priority="1162" operator="greaterThan">
      <formula>10000</formula>
    </cfRule>
    <cfRule type="cellIs" dxfId="997" priority="1164" operator="greaterThanOrEqual">
      <formula>1550</formula>
    </cfRule>
    <cfRule type="cellIs" dxfId="996" priority="1165" operator="greaterThanOrEqual">
      <formula>1525</formula>
    </cfRule>
    <cfRule type="cellIs" dxfId="995" priority="1166" operator="greaterThanOrEqual">
      <formula>1475</formula>
    </cfRule>
    <cfRule type="cellIs" dxfId="994" priority="1167" operator="greaterThanOrEqual">
      <formula>1400</formula>
    </cfRule>
  </conditionalFormatting>
  <conditionalFormatting sqref="I167:J168">
    <cfRule type="cellIs" dxfId="993" priority="1163" operator="greaterThan">
      <formula>1600</formula>
    </cfRule>
  </conditionalFormatting>
  <conditionalFormatting sqref="K167:K168">
    <cfRule type="cellIs" dxfId="992" priority="1158" operator="greaterThan">
      <formula>10000</formula>
    </cfRule>
    <cfRule type="cellIs" dxfId="991" priority="1159" operator="greaterThanOrEqual">
      <formula>1500</formula>
    </cfRule>
    <cfRule type="cellIs" dxfId="990" priority="1160" operator="greaterThanOrEqual">
      <formula>1450</formula>
    </cfRule>
    <cfRule type="cellIs" dxfId="989" priority="1161" operator="greaterThan">
      <formula>1400</formula>
    </cfRule>
  </conditionalFormatting>
  <conditionalFormatting sqref="K167:K168">
    <cfRule type="cellIs" dxfId="988" priority="1153" operator="greaterThan">
      <formula>10000</formula>
    </cfRule>
    <cfRule type="cellIs" dxfId="987" priority="1154" operator="greaterThanOrEqual">
      <formula>1500</formula>
    </cfRule>
    <cfRule type="cellIs" dxfId="986" priority="1155" operator="greaterThanOrEqual">
      <formula>1475</formula>
    </cfRule>
    <cfRule type="cellIs" dxfId="985" priority="1156" operator="greaterThanOrEqual">
      <formula>1450</formula>
    </cfRule>
    <cfRule type="cellIs" dxfId="984" priority="1157" operator="greaterThanOrEqual">
      <formula>1400</formula>
    </cfRule>
  </conditionalFormatting>
  <conditionalFormatting sqref="K167:K168">
    <cfRule type="cellIs" dxfId="983" priority="1149" operator="greaterThan">
      <formula>10000</formula>
    </cfRule>
    <cfRule type="cellIs" dxfId="982" priority="1150" operator="greaterThanOrEqual">
      <formula>1500</formula>
    </cfRule>
    <cfRule type="cellIs" dxfId="981" priority="1151" operator="greaterThanOrEqual">
      <formula>1450</formula>
    </cfRule>
    <cfRule type="cellIs" dxfId="980" priority="1152" operator="greaterThan">
      <formula>1400</formula>
    </cfRule>
  </conditionalFormatting>
  <conditionalFormatting sqref="K167:K168">
    <cfRule type="cellIs" dxfId="979" priority="1144" operator="greaterThan">
      <formula>10000</formula>
    </cfRule>
    <cfRule type="cellIs" dxfId="978" priority="1145" operator="greaterThanOrEqual">
      <formula>1500</formula>
    </cfRule>
    <cfRule type="cellIs" dxfId="977" priority="1146" operator="greaterThanOrEqual">
      <formula>1475</formula>
    </cfRule>
    <cfRule type="cellIs" dxfId="976" priority="1147" operator="greaterThanOrEqual">
      <formula>1450</formula>
    </cfRule>
    <cfRule type="cellIs" dxfId="975" priority="1148" operator="greaterThanOrEqual">
      <formula>1400</formula>
    </cfRule>
  </conditionalFormatting>
  <conditionalFormatting sqref="K167:K168">
    <cfRule type="cellIs" dxfId="974" priority="1140" operator="greaterThan">
      <formula>10000</formula>
    </cfRule>
    <cfRule type="cellIs" dxfId="973" priority="1141" operator="greaterThanOrEqual">
      <formula>1500</formula>
    </cfRule>
    <cfRule type="cellIs" dxfId="972" priority="1142" operator="greaterThanOrEqual">
      <formula>1450</formula>
    </cfRule>
    <cfRule type="cellIs" dxfId="971" priority="1143" operator="greaterThan">
      <formula>1400</formula>
    </cfRule>
  </conditionalFormatting>
  <conditionalFormatting sqref="K167:K168">
    <cfRule type="cellIs" dxfId="970" priority="1135" operator="greaterThan">
      <formula>10000</formula>
    </cfRule>
    <cfRule type="cellIs" dxfId="969" priority="1136" operator="greaterThanOrEqual">
      <formula>1500</formula>
    </cfRule>
    <cfRule type="cellIs" dxfId="968" priority="1137" operator="greaterThanOrEqual">
      <formula>1475</formula>
    </cfRule>
    <cfRule type="cellIs" dxfId="967" priority="1138" operator="greaterThanOrEqual">
      <formula>1450</formula>
    </cfRule>
    <cfRule type="cellIs" dxfId="966" priority="1139" operator="greaterThanOrEqual">
      <formula>1400</formula>
    </cfRule>
  </conditionalFormatting>
  <conditionalFormatting sqref="F233">
    <cfRule type="top10" priority="1134" bottom="1" rank="3"/>
  </conditionalFormatting>
  <conditionalFormatting sqref="F233">
    <cfRule type="cellIs" dxfId="965" priority="1133" operator="between">
      <formula>0.1</formula>
      <formula>89</formula>
    </cfRule>
  </conditionalFormatting>
  <conditionalFormatting sqref="I236">
    <cfRule type="cellIs" dxfId="964" priority="1132" operator="greaterThan">
      <formula>10000</formula>
    </cfRule>
  </conditionalFormatting>
  <conditionalFormatting sqref="I236">
    <cfRule type="cellIs" dxfId="963" priority="1126" operator="greaterThan">
      <formula>10000</formula>
    </cfRule>
    <cfRule type="cellIs" dxfId="962" priority="1128" operator="greaterThanOrEqual">
      <formula>1550</formula>
    </cfRule>
    <cfRule type="cellIs" dxfId="961" priority="1129" operator="greaterThanOrEqual">
      <formula>1525</formula>
    </cfRule>
    <cfRule type="cellIs" dxfId="960" priority="1130" operator="greaterThanOrEqual">
      <formula>1475</formula>
    </cfRule>
    <cfRule type="cellIs" dxfId="959" priority="1131" operator="greaterThanOrEqual">
      <formula>1400</formula>
    </cfRule>
  </conditionalFormatting>
  <conditionalFormatting sqref="I236">
    <cfRule type="cellIs" dxfId="958" priority="1127" operator="greaterThan">
      <formula>1600</formula>
    </cfRule>
  </conditionalFormatting>
  <conditionalFormatting sqref="J236">
    <cfRule type="cellIs" dxfId="957" priority="1116" operator="greaterThan">
      <formula>10000</formula>
    </cfRule>
  </conditionalFormatting>
  <conditionalFormatting sqref="J236">
    <cfRule type="cellIs" dxfId="956" priority="1110" operator="greaterThan">
      <formula>10000</formula>
    </cfRule>
    <cfRule type="cellIs" dxfId="955" priority="1112" operator="greaterThanOrEqual">
      <formula>1550</formula>
    </cfRule>
    <cfRule type="cellIs" dxfId="954" priority="1113" operator="greaterThanOrEqual">
      <formula>1525</formula>
    </cfRule>
    <cfRule type="cellIs" dxfId="953" priority="1114" operator="greaterThanOrEqual">
      <formula>1475</formula>
    </cfRule>
    <cfRule type="cellIs" dxfId="952" priority="1115" operator="greaterThanOrEqual">
      <formula>1400</formula>
    </cfRule>
  </conditionalFormatting>
  <conditionalFormatting sqref="J236">
    <cfRule type="cellIs" dxfId="951" priority="1111" operator="greaterThan">
      <formula>1600</formula>
    </cfRule>
  </conditionalFormatting>
  <conditionalFormatting sqref="I237">
    <cfRule type="cellIs" dxfId="950" priority="1107" operator="greaterThan">
      <formula>10000</formula>
    </cfRule>
  </conditionalFormatting>
  <conditionalFormatting sqref="I237">
    <cfRule type="cellIs" dxfId="949" priority="1101" operator="greaterThan">
      <formula>10000</formula>
    </cfRule>
    <cfRule type="cellIs" dxfId="948" priority="1103" operator="greaterThanOrEqual">
      <formula>1550</formula>
    </cfRule>
    <cfRule type="cellIs" dxfId="947" priority="1104" operator="greaterThanOrEqual">
      <formula>1525</formula>
    </cfRule>
    <cfRule type="cellIs" dxfId="946" priority="1105" operator="greaterThanOrEqual">
      <formula>1475</formula>
    </cfRule>
    <cfRule type="cellIs" dxfId="945" priority="1106" operator="greaterThanOrEqual">
      <formula>1400</formula>
    </cfRule>
  </conditionalFormatting>
  <conditionalFormatting sqref="I237">
    <cfRule type="cellIs" dxfId="944" priority="1102" operator="greaterThan">
      <formula>1600</formula>
    </cfRule>
  </conditionalFormatting>
  <conditionalFormatting sqref="J237">
    <cfRule type="cellIs" dxfId="943" priority="1091" operator="greaterThan">
      <formula>10000</formula>
    </cfRule>
  </conditionalFormatting>
  <conditionalFormatting sqref="K184">
    <cfRule type="cellIs" dxfId="942" priority="623" operator="greaterThan">
      <formula>10000</formula>
    </cfRule>
    <cfRule type="cellIs" dxfId="941" priority="624" operator="greaterThanOrEqual">
      <formula>1500</formula>
    </cfRule>
    <cfRule type="cellIs" dxfId="940" priority="625" operator="greaterThanOrEqual">
      <formula>1450</formula>
    </cfRule>
    <cfRule type="cellIs" dxfId="939" priority="626" operator="greaterThan">
      <formula>1400</formula>
    </cfRule>
  </conditionalFormatting>
  <conditionalFormatting sqref="K184">
    <cfRule type="cellIs" dxfId="938" priority="618" operator="greaterThan">
      <formula>10000</formula>
    </cfRule>
    <cfRule type="cellIs" dxfId="937" priority="619" operator="greaterThanOrEqual">
      <formula>1500</formula>
    </cfRule>
    <cfRule type="cellIs" dxfId="936" priority="620" operator="greaterThanOrEqual">
      <formula>1475</formula>
    </cfRule>
    <cfRule type="cellIs" dxfId="935" priority="621" operator="greaterThanOrEqual">
      <formula>1450</formula>
    </cfRule>
    <cfRule type="cellIs" dxfId="934" priority="622" operator="greaterThanOrEqual">
      <formula>1400</formula>
    </cfRule>
  </conditionalFormatting>
  <conditionalFormatting sqref="J237">
    <cfRule type="cellIs" dxfId="933" priority="1085" operator="greaterThan">
      <formula>10000</formula>
    </cfRule>
    <cfRule type="cellIs" dxfId="932" priority="1087" operator="greaterThanOrEqual">
      <formula>1550</formula>
    </cfRule>
    <cfRule type="cellIs" dxfId="931" priority="1088" operator="greaterThanOrEqual">
      <formula>1525</formula>
    </cfRule>
    <cfRule type="cellIs" dxfId="930" priority="1089" operator="greaterThanOrEqual">
      <formula>1475</formula>
    </cfRule>
    <cfRule type="cellIs" dxfId="929" priority="1090" operator="greaterThanOrEqual">
      <formula>1400</formula>
    </cfRule>
  </conditionalFormatting>
  <conditionalFormatting sqref="J237">
    <cfRule type="cellIs" dxfId="928" priority="1086" operator="greaterThan">
      <formula>1600</formula>
    </cfRule>
  </conditionalFormatting>
  <conditionalFormatting sqref="K208">
    <cfRule type="cellIs" dxfId="927" priority="1081" operator="greaterThan">
      <formula>10000</formula>
    </cfRule>
    <cfRule type="cellIs" dxfId="926" priority="1082" operator="greaterThanOrEqual">
      <formula>1500</formula>
    </cfRule>
    <cfRule type="cellIs" dxfId="925" priority="1083" operator="greaterThanOrEqual">
      <formula>1450</formula>
    </cfRule>
    <cfRule type="cellIs" dxfId="924" priority="1084" operator="greaterThan">
      <formula>1400</formula>
    </cfRule>
  </conditionalFormatting>
  <conditionalFormatting sqref="K208">
    <cfRule type="cellIs" dxfId="923" priority="1076" operator="greaterThan">
      <formula>10000</formula>
    </cfRule>
    <cfRule type="cellIs" dxfId="922" priority="1077" operator="greaterThanOrEqual">
      <formula>1500</formula>
    </cfRule>
    <cfRule type="cellIs" dxfId="921" priority="1078" operator="greaterThanOrEqual">
      <formula>1475</formula>
    </cfRule>
    <cfRule type="cellIs" dxfId="920" priority="1079" operator="greaterThanOrEqual">
      <formula>1450</formula>
    </cfRule>
    <cfRule type="cellIs" dxfId="919" priority="1080" operator="greaterThanOrEqual">
      <formula>1400</formula>
    </cfRule>
  </conditionalFormatting>
  <conditionalFormatting sqref="K208">
    <cfRule type="cellIs" dxfId="918" priority="1072" operator="greaterThan">
      <formula>10000</formula>
    </cfRule>
    <cfRule type="cellIs" dxfId="917" priority="1073" operator="greaterThanOrEqual">
      <formula>1500</formula>
    </cfRule>
    <cfRule type="cellIs" dxfId="916" priority="1074" operator="greaterThanOrEqual">
      <formula>1450</formula>
    </cfRule>
    <cfRule type="cellIs" dxfId="915" priority="1075" operator="greaterThan">
      <formula>1400</formula>
    </cfRule>
  </conditionalFormatting>
  <conditionalFormatting sqref="K208">
    <cfRule type="cellIs" dxfId="914" priority="1067" operator="greaterThan">
      <formula>10000</formula>
    </cfRule>
    <cfRule type="cellIs" dxfId="913" priority="1068" operator="greaterThanOrEqual">
      <formula>1500</formula>
    </cfRule>
    <cfRule type="cellIs" dxfId="912" priority="1069" operator="greaterThanOrEqual">
      <formula>1475</formula>
    </cfRule>
    <cfRule type="cellIs" dxfId="911" priority="1070" operator="greaterThanOrEqual">
      <formula>1450</formula>
    </cfRule>
    <cfRule type="cellIs" dxfId="910" priority="1071" operator="greaterThanOrEqual">
      <formula>1400</formula>
    </cfRule>
  </conditionalFormatting>
  <conditionalFormatting sqref="K236">
    <cfRule type="cellIs" dxfId="909" priority="1045" operator="greaterThan">
      <formula>10000</formula>
    </cfRule>
    <cfRule type="cellIs" dxfId="908" priority="1046" operator="greaterThanOrEqual">
      <formula>1500</formula>
    </cfRule>
    <cfRule type="cellIs" dxfId="907" priority="1047" operator="greaterThanOrEqual">
      <formula>1450</formula>
    </cfRule>
    <cfRule type="cellIs" dxfId="906" priority="1048" operator="greaterThan">
      <formula>1400</formula>
    </cfRule>
  </conditionalFormatting>
  <conditionalFormatting sqref="K236">
    <cfRule type="cellIs" dxfId="905" priority="1040" operator="greaterThan">
      <formula>10000</formula>
    </cfRule>
    <cfRule type="cellIs" dxfId="904" priority="1041" operator="greaterThanOrEqual">
      <formula>1500</formula>
    </cfRule>
    <cfRule type="cellIs" dxfId="903" priority="1042" operator="greaterThanOrEqual">
      <formula>1475</formula>
    </cfRule>
    <cfRule type="cellIs" dxfId="902" priority="1043" operator="greaterThanOrEqual">
      <formula>1450</formula>
    </cfRule>
    <cfRule type="cellIs" dxfId="901" priority="1044" operator="greaterThanOrEqual">
      <formula>1400</formula>
    </cfRule>
  </conditionalFormatting>
  <conditionalFormatting sqref="K236">
    <cfRule type="cellIs" dxfId="900" priority="1036" operator="greaterThan">
      <formula>10000</formula>
    </cfRule>
    <cfRule type="cellIs" dxfId="899" priority="1037" operator="greaterThanOrEqual">
      <formula>1500</formula>
    </cfRule>
    <cfRule type="cellIs" dxfId="898" priority="1038" operator="greaterThanOrEqual">
      <formula>1450</formula>
    </cfRule>
    <cfRule type="cellIs" dxfId="897" priority="1039" operator="greaterThan">
      <formula>1400</formula>
    </cfRule>
  </conditionalFormatting>
  <conditionalFormatting sqref="K236">
    <cfRule type="cellIs" dxfId="896" priority="1031" operator="greaterThan">
      <formula>10000</formula>
    </cfRule>
    <cfRule type="cellIs" dxfId="895" priority="1032" operator="greaterThanOrEqual">
      <formula>1500</formula>
    </cfRule>
    <cfRule type="cellIs" dxfId="894" priority="1033" operator="greaterThanOrEqual">
      <formula>1475</formula>
    </cfRule>
    <cfRule type="cellIs" dxfId="893" priority="1034" operator="greaterThanOrEqual">
      <formula>1450</formula>
    </cfRule>
    <cfRule type="cellIs" dxfId="892" priority="1035" operator="greaterThanOrEqual">
      <formula>1400</formula>
    </cfRule>
  </conditionalFormatting>
  <conditionalFormatting sqref="K236">
    <cfRule type="cellIs" dxfId="891" priority="1027" operator="greaterThan">
      <formula>10000</formula>
    </cfRule>
    <cfRule type="cellIs" dxfId="890" priority="1028" operator="greaterThanOrEqual">
      <formula>1500</formula>
    </cfRule>
    <cfRule type="cellIs" dxfId="889" priority="1029" operator="greaterThanOrEqual">
      <formula>1450</formula>
    </cfRule>
    <cfRule type="cellIs" dxfId="888" priority="1030" operator="greaterThan">
      <formula>1400</formula>
    </cfRule>
  </conditionalFormatting>
  <conditionalFormatting sqref="K236">
    <cfRule type="cellIs" dxfId="887" priority="1022" operator="greaterThan">
      <formula>10000</formula>
    </cfRule>
    <cfRule type="cellIs" dxfId="886" priority="1023" operator="greaterThanOrEqual">
      <formula>1500</formula>
    </cfRule>
    <cfRule type="cellIs" dxfId="885" priority="1024" operator="greaterThanOrEqual">
      <formula>1475</formula>
    </cfRule>
    <cfRule type="cellIs" dxfId="884" priority="1025" operator="greaterThanOrEqual">
      <formula>1450</formula>
    </cfRule>
    <cfRule type="cellIs" dxfId="883" priority="1026" operator="greaterThanOrEqual">
      <formula>1400</formula>
    </cfRule>
  </conditionalFormatting>
  <conditionalFormatting sqref="K237">
    <cfRule type="cellIs" dxfId="882" priority="1018" operator="greaterThan">
      <formula>10000</formula>
    </cfRule>
    <cfRule type="cellIs" dxfId="881" priority="1019" operator="greaterThanOrEqual">
      <formula>1500</formula>
    </cfRule>
    <cfRule type="cellIs" dxfId="880" priority="1020" operator="greaterThanOrEqual">
      <formula>1450</formula>
    </cfRule>
    <cfRule type="cellIs" dxfId="879" priority="1021" operator="greaterThan">
      <formula>1400</formula>
    </cfRule>
  </conditionalFormatting>
  <conditionalFormatting sqref="K237">
    <cfRule type="cellIs" dxfId="878" priority="1013" operator="greaterThan">
      <formula>10000</formula>
    </cfRule>
    <cfRule type="cellIs" dxfId="877" priority="1014" operator="greaterThanOrEqual">
      <formula>1500</formula>
    </cfRule>
    <cfRule type="cellIs" dxfId="876" priority="1015" operator="greaterThanOrEqual">
      <formula>1475</formula>
    </cfRule>
    <cfRule type="cellIs" dxfId="875" priority="1016" operator="greaterThanOrEqual">
      <formula>1450</formula>
    </cfRule>
    <cfRule type="cellIs" dxfId="874" priority="1017" operator="greaterThanOrEqual">
      <formula>1400</formula>
    </cfRule>
  </conditionalFormatting>
  <conditionalFormatting sqref="K237">
    <cfRule type="cellIs" dxfId="873" priority="1009" operator="greaterThan">
      <formula>10000</formula>
    </cfRule>
    <cfRule type="cellIs" dxfId="872" priority="1010" operator="greaterThanOrEqual">
      <formula>1500</formula>
    </cfRule>
    <cfRule type="cellIs" dxfId="871" priority="1011" operator="greaterThanOrEqual">
      <formula>1450</formula>
    </cfRule>
    <cfRule type="cellIs" dxfId="870" priority="1012" operator="greaterThan">
      <formula>1400</formula>
    </cfRule>
  </conditionalFormatting>
  <conditionalFormatting sqref="K237">
    <cfRule type="cellIs" dxfId="869" priority="1004" operator="greaterThan">
      <formula>10000</formula>
    </cfRule>
    <cfRule type="cellIs" dxfId="868" priority="1005" operator="greaterThanOrEqual">
      <formula>1500</formula>
    </cfRule>
    <cfRule type="cellIs" dxfId="867" priority="1006" operator="greaterThanOrEqual">
      <formula>1475</formula>
    </cfRule>
    <cfRule type="cellIs" dxfId="866" priority="1007" operator="greaterThanOrEqual">
      <formula>1450</formula>
    </cfRule>
    <cfRule type="cellIs" dxfId="865" priority="1008" operator="greaterThanOrEqual">
      <formula>1400</formula>
    </cfRule>
  </conditionalFormatting>
  <conditionalFormatting sqref="K237">
    <cfRule type="cellIs" dxfId="864" priority="1000" operator="greaterThan">
      <formula>10000</formula>
    </cfRule>
    <cfRule type="cellIs" dxfId="863" priority="1001" operator="greaterThanOrEqual">
      <formula>1500</formula>
    </cfRule>
    <cfRule type="cellIs" dxfId="862" priority="1002" operator="greaterThanOrEqual">
      <formula>1450</formula>
    </cfRule>
    <cfRule type="cellIs" dxfId="861" priority="1003" operator="greaterThan">
      <formula>1400</formula>
    </cfRule>
  </conditionalFormatting>
  <conditionalFormatting sqref="K237">
    <cfRule type="cellIs" dxfId="860" priority="995" operator="greaterThan">
      <formula>10000</formula>
    </cfRule>
    <cfRule type="cellIs" dxfId="859" priority="996" operator="greaterThanOrEqual">
      <formula>1500</formula>
    </cfRule>
    <cfRule type="cellIs" dxfId="858" priority="997" operator="greaterThanOrEqual">
      <formula>1475</formula>
    </cfRule>
    <cfRule type="cellIs" dxfId="857" priority="998" operator="greaterThanOrEqual">
      <formula>1450</formula>
    </cfRule>
    <cfRule type="cellIs" dxfId="856" priority="999" operator="greaterThanOrEqual">
      <formula>1400</formula>
    </cfRule>
  </conditionalFormatting>
  <conditionalFormatting sqref="K212:K215">
    <cfRule type="cellIs" dxfId="855" priority="957" operator="greaterThan">
      <formula>10000</formula>
    </cfRule>
    <cfRule type="cellIs" dxfId="854" priority="958" operator="greaterThanOrEqual">
      <formula>1500</formula>
    </cfRule>
    <cfRule type="cellIs" dxfId="853" priority="959" operator="greaterThanOrEqual">
      <formula>1450</formula>
    </cfRule>
    <cfRule type="cellIs" dxfId="852" priority="960" operator="greaterThan">
      <formula>1400</formula>
    </cfRule>
  </conditionalFormatting>
  <conditionalFormatting sqref="K212:K215">
    <cfRule type="cellIs" dxfId="851" priority="952" operator="greaterThan">
      <formula>10000</formula>
    </cfRule>
    <cfRule type="cellIs" dxfId="850" priority="953" operator="greaterThanOrEqual">
      <formula>1500</formula>
    </cfRule>
    <cfRule type="cellIs" dxfId="849" priority="954" operator="greaterThanOrEqual">
      <formula>1475</formula>
    </cfRule>
    <cfRule type="cellIs" dxfId="848" priority="955" operator="greaterThanOrEqual">
      <formula>1450</formula>
    </cfRule>
    <cfRule type="cellIs" dxfId="847" priority="956" operator="greaterThanOrEqual">
      <formula>1400</formula>
    </cfRule>
  </conditionalFormatting>
  <conditionalFormatting sqref="K212:K215">
    <cfRule type="cellIs" dxfId="846" priority="948" operator="greaterThan">
      <formula>10000</formula>
    </cfRule>
    <cfRule type="cellIs" dxfId="845" priority="949" operator="greaterThanOrEqual">
      <formula>1500</formula>
    </cfRule>
    <cfRule type="cellIs" dxfId="844" priority="950" operator="greaterThanOrEqual">
      <formula>1450</formula>
    </cfRule>
    <cfRule type="cellIs" dxfId="843" priority="951" operator="greaterThan">
      <formula>1400</formula>
    </cfRule>
  </conditionalFormatting>
  <conditionalFormatting sqref="K212:K215">
    <cfRule type="cellIs" dxfId="842" priority="943" operator="greaterThan">
      <formula>10000</formula>
    </cfRule>
    <cfRule type="cellIs" dxfId="841" priority="944" operator="greaterThanOrEqual">
      <formula>1500</formula>
    </cfRule>
    <cfRule type="cellIs" dxfId="840" priority="945" operator="greaterThanOrEqual">
      <formula>1475</formula>
    </cfRule>
    <cfRule type="cellIs" dxfId="839" priority="946" operator="greaterThanOrEqual">
      <formula>1450</formula>
    </cfRule>
    <cfRule type="cellIs" dxfId="838" priority="947" operator="greaterThanOrEqual">
      <formula>1400</formula>
    </cfRule>
  </conditionalFormatting>
  <conditionalFormatting sqref="K212:K215">
    <cfRule type="cellIs" dxfId="837" priority="939" operator="greaterThan">
      <formula>10000</formula>
    </cfRule>
    <cfRule type="cellIs" dxfId="836" priority="940" operator="greaterThanOrEqual">
      <formula>1500</formula>
    </cfRule>
    <cfRule type="cellIs" dxfId="835" priority="941" operator="greaterThanOrEqual">
      <formula>1450</formula>
    </cfRule>
    <cfRule type="cellIs" dxfId="834" priority="942" operator="greaterThan">
      <formula>1400</formula>
    </cfRule>
  </conditionalFormatting>
  <conditionalFormatting sqref="K212:K215">
    <cfRule type="cellIs" dxfId="833" priority="934" operator="greaterThan">
      <formula>10000</formula>
    </cfRule>
    <cfRule type="cellIs" dxfId="832" priority="935" operator="greaterThanOrEqual">
      <formula>1500</formula>
    </cfRule>
    <cfRule type="cellIs" dxfId="831" priority="936" operator="greaterThanOrEqual">
      <formula>1475</formula>
    </cfRule>
    <cfRule type="cellIs" dxfId="830" priority="937" operator="greaterThanOrEqual">
      <formula>1450</formula>
    </cfRule>
    <cfRule type="cellIs" dxfId="829" priority="938" operator="greaterThanOrEqual">
      <formula>1400</formula>
    </cfRule>
  </conditionalFormatting>
  <conditionalFormatting sqref="K223:K225">
    <cfRule type="cellIs" dxfId="828" priority="930" operator="greaterThan">
      <formula>10000</formula>
    </cfRule>
    <cfRule type="cellIs" dxfId="827" priority="931" operator="greaterThanOrEqual">
      <formula>1500</formula>
    </cfRule>
    <cfRule type="cellIs" dxfId="826" priority="932" operator="greaterThanOrEqual">
      <formula>1450</formula>
    </cfRule>
    <cfRule type="cellIs" dxfId="825" priority="933" operator="greaterThan">
      <formula>1400</formula>
    </cfRule>
  </conditionalFormatting>
  <conditionalFormatting sqref="K223:K225">
    <cfRule type="cellIs" dxfId="824" priority="925" operator="greaterThan">
      <formula>10000</formula>
    </cfRule>
    <cfRule type="cellIs" dxfId="823" priority="926" operator="greaterThanOrEqual">
      <formula>1500</formula>
    </cfRule>
    <cfRule type="cellIs" dxfId="822" priority="927" operator="greaterThanOrEqual">
      <formula>1475</formula>
    </cfRule>
    <cfRule type="cellIs" dxfId="821" priority="928" operator="greaterThanOrEqual">
      <formula>1450</formula>
    </cfRule>
    <cfRule type="cellIs" dxfId="820" priority="929" operator="greaterThanOrEqual">
      <formula>1400</formula>
    </cfRule>
  </conditionalFormatting>
  <conditionalFormatting sqref="I178:J178">
    <cfRule type="cellIs" dxfId="819" priority="924" operator="greaterThan">
      <formula>10000</formula>
    </cfRule>
  </conditionalFormatting>
  <conditionalFormatting sqref="I178:J178">
    <cfRule type="cellIs" dxfId="818" priority="918" operator="greaterThan">
      <formula>10000</formula>
    </cfRule>
    <cfRule type="cellIs" dxfId="817" priority="920" operator="greaterThanOrEqual">
      <formula>1550</formula>
    </cfRule>
    <cfRule type="cellIs" dxfId="816" priority="921" operator="greaterThanOrEqual">
      <formula>1525</formula>
    </cfRule>
    <cfRule type="cellIs" dxfId="815" priority="922" operator="greaterThanOrEqual">
      <formula>1475</formula>
    </cfRule>
    <cfRule type="cellIs" dxfId="814" priority="923" operator="greaterThanOrEqual">
      <formula>1400</formula>
    </cfRule>
  </conditionalFormatting>
  <conditionalFormatting sqref="I178:J178">
    <cfRule type="cellIs" dxfId="813" priority="919" operator="greaterThan">
      <formula>1600</formula>
    </cfRule>
  </conditionalFormatting>
  <conditionalFormatting sqref="K178">
    <cfRule type="cellIs" dxfId="812" priority="914" operator="greaterThan">
      <formula>10000</formula>
    </cfRule>
    <cfRule type="cellIs" dxfId="811" priority="915" operator="greaterThanOrEqual">
      <formula>1500</formula>
    </cfRule>
    <cfRule type="cellIs" dxfId="810" priority="916" operator="greaterThanOrEqual">
      <formula>1450</formula>
    </cfRule>
    <cfRule type="cellIs" dxfId="809" priority="917" operator="greaterThan">
      <formula>1400</formula>
    </cfRule>
  </conditionalFormatting>
  <conditionalFormatting sqref="K178">
    <cfRule type="cellIs" dxfId="808" priority="909" operator="greaterThan">
      <formula>10000</formula>
    </cfRule>
    <cfRule type="cellIs" dxfId="807" priority="910" operator="greaterThanOrEqual">
      <formula>1500</formula>
    </cfRule>
    <cfRule type="cellIs" dxfId="806" priority="911" operator="greaterThanOrEqual">
      <formula>1475</formula>
    </cfRule>
    <cfRule type="cellIs" dxfId="805" priority="912" operator="greaterThanOrEqual">
      <formula>1450</formula>
    </cfRule>
    <cfRule type="cellIs" dxfId="804" priority="913" operator="greaterThanOrEqual">
      <formula>1400</formula>
    </cfRule>
  </conditionalFormatting>
  <conditionalFormatting sqref="K178">
    <cfRule type="cellIs" dxfId="803" priority="905" operator="greaterThan">
      <formula>10000</formula>
    </cfRule>
    <cfRule type="cellIs" dxfId="802" priority="906" operator="greaterThanOrEqual">
      <formula>1500</formula>
    </cfRule>
    <cfRule type="cellIs" dxfId="801" priority="907" operator="greaterThanOrEqual">
      <formula>1450</formula>
    </cfRule>
    <cfRule type="cellIs" dxfId="800" priority="908" operator="greaterThan">
      <formula>1400</formula>
    </cfRule>
  </conditionalFormatting>
  <conditionalFormatting sqref="K178">
    <cfRule type="cellIs" dxfId="799" priority="900" operator="greaterThan">
      <formula>10000</formula>
    </cfRule>
    <cfRule type="cellIs" dxfId="798" priority="901" operator="greaterThanOrEqual">
      <formula>1500</formula>
    </cfRule>
    <cfRule type="cellIs" dxfId="797" priority="902" operator="greaterThanOrEqual">
      <formula>1475</formula>
    </cfRule>
    <cfRule type="cellIs" dxfId="796" priority="903" operator="greaterThanOrEqual">
      <formula>1450</formula>
    </cfRule>
    <cfRule type="cellIs" dxfId="795" priority="904" operator="greaterThanOrEqual">
      <formula>1400</formula>
    </cfRule>
  </conditionalFormatting>
  <conditionalFormatting sqref="K178">
    <cfRule type="cellIs" dxfId="794" priority="896" operator="greaterThan">
      <formula>10000</formula>
    </cfRule>
    <cfRule type="cellIs" dxfId="793" priority="897" operator="greaterThanOrEqual">
      <formula>1500</formula>
    </cfRule>
    <cfRule type="cellIs" dxfId="792" priority="898" operator="greaterThanOrEqual">
      <formula>1450</formula>
    </cfRule>
    <cfRule type="cellIs" dxfId="791" priority="899" operator="greaterThan">
      <formula>1400</formula>
    </cfRule>
  </conditionalFormatting>
  <conditionalFormatting sqref="K178">
    <cfRule type="cellIs" dxfId="790" priority="891" operator="greaterThan">
      <formula>10000</formula>
    </cfRule>
    <cfRule type="cellIs" dxfId="789" priority="892" operator="greaterThanOrEqual">
      <formula>1500</formula>
    </cfRule>
    <cfRule type="cellIs" dxfId="788" priority="893" operator="greaterThanOrEqual">
      <formula>1475</formula>
    </cfRule>
    <cfRule type="cellIs" dxfId="787" priority="894" operator="greaterThanOrEqual">
      <formula>1450</formula>
    </cfRule>
    <cfRule type="cellIs" dxfId="786" priority="895" operator="greaterThanOrEqual">
      <formula>1400</formula>
    </cfRule>
  </conditionalFormatting>
  <conditionalFormatting sqref="J179">
    <cfRule type="cellIs" dxfId="785" priority="890" operator="greaterThan">
      <formula>10000</formula>
    </cfRule>
  </conditionalFormatting>
  <conditionalFormatting sqref="J179">
    <cfRule type="cellIs" dxfId="784" priority="884" operator="greaterThan">
      <formula>10000</formula>
    </cfRule>
    <cfRule type="cellIs" dxfId="783" priority="886" operator="greaterThanOrEqual">
      <formula>1550</formula>
    </cfRule>
    <cfRule type="cellIs" dxfId="782" priority="887" operator="greaterThanOrEqual">
      <formula>1525</formula>
    </cfRule>
    <cfRule type="cellIs" dxfId="781" priority="888" operator="greaterThanOrEqual">
      <formula>1475</formula>
    </cfRule>
    <cfRule type="cellIs" dxfId="780" priority="889" operator="greaterThanOrEqual">
      <formula>1400</formula>
    </cfRule>
  </conditionalFormatting>
  <conditionalFormatting sqref="J179">
    <cfRule type="cellIs" dxfId="779" priority="885" operator="greaterThan">
      <formula>1600</formula>
    </cfRule>
  </conditionalFormatting>
  <conditionalFormatting sqref="K179">
    <cfRule type="cellIs" dxfId="778" priority="880" operator="greaterThan">
      <formula>10000</formula>
    </cfRule>
    <cfRule type="cellIs" dxfId="777" priority="881" operator="greaterThanOrEqual">
      <formula>1500</formula>
    </cfRule>
    <cfRule type="cellIs" dxfId="776" priority="882" operator="greaterThanOrEqual">
      <formula>1450</formula>
    </cfRule>
    <cfRule type="cellIs" dxfId="775" priority="883" operator="greaterThan">
      <formula>1400</formula>
    </cfRule>
  </conditionalFormatting>
  <conditionalFormatting sqref="K179">
    <cfRule type="cellIs" dxfId="774" priority="875" operator="greaterThan">
      <formula>10000</formula>
    </cfRule>
    <cfRule type="cellIs" dxfId="773" priority="876" operator="greaterThanOrEqual">
      <formula>1500</formula>
    </cfRule>
    <cfRule type="cellIs" dxfId="772" priority="877" operator="greaterThanOrEqual">
      <formula>1475</formula>
    </cfRule>
    <cfRule type="cellIs" dxfId="771" priority="878" operator="greaterThanOrEqual">
      <formula>1450</formula>
    </cfRule>
    <cfRule type="cellIs" dxfId="770" priority="879" operator="greaterThanOrEqual">
      <formula>1400</formula>
    </cfRule>
  </conditionalFormatting>
  <conditionalFormatting sqref="K179">
    <cfRule type="cellIs" dxfId="769" priority="871" operator="greaterThan">
      <formula>10000</formula>
    </cfRule>
    <cfRule type="cellIs" dxfId="768" priority="872" operator="greaterThanOrEqual">
      <formula>1500</formula>
    </cfRule>
    <cfRule type="cellIs" dxfId="767" priority="873" operator="greaterThanOrEqual">
      <formula>1450</formula>
    </cfRule>
    <cfRule type="cellIs" dxfId="766" priority="874" operator="greaterThan">
      <formula>1400</formula>
    </cfRule>
  </conditionalFormatting>
  <conditionalFormatting sqref="K179">
    <cfRule type="cellIs" dxfId="765" priority="866" operator="greaterThan">
      <formula>10000</formula>
    </cfRule>
    <cfRule type="cellIs" dxfId="764" priority="867" operator="greaterThanOrEqual">
      <formula>1500</formula>
    </cfRule>
    <cfRule type="cellIs" dxfId="763" priority="868" operator="greaterThanOrEqual">
      <formula>1475</formula>
    </cfRule>
    <cfRule type="cellIs" dxfId="762" priority="869" operator="greaterThanOrEqual">
      <formula>1450</formula>
    </cfRule>
    <cfRule type="cellIs" dxfId="761" priority="870" operator="greaterThanOrEqual">
      <formula>1400</formula>
    </cfRule>
  </conditionalFormatting>
  <conditionalFormatting sqref="K179">
    <cfRule type="cellIs" dxfId="760" priority="862" operator="greaterThan">
      <formula>10000</formula>
    </cfRule>
    <cfRule type="cellIs" dxfId="759" priority="863" operator="greaterThanOrEqual">
      <formula>1500</formula>
    </cfRule>
    <cfRule type="cellIs" dxfId="758" priority="864" operator="greaterThanOrEqual">
      <formula>1450</formula>
    </cfRule>
    <cfRule type="cellIs" dxfId="757" priority="865" operator="greaterThan">
      <formula>1400</formula>
    </cfRule>
  </conditionalFormatting>
  <conditionalFormatting sqref="K179">
    <cfRule type="cellIs" dxfId="756" priority="857" operator="greaterThan">
      <formula>10000</formula>
    </cfRule>
    <cfRule type="cellIs" dxfId="755" priority="858" operator="greaterThanOrEqual">
      <formula>1500</formula>
    </cfRule>
    <cfRule type="cellIs" dxfId="754" priority="859" operator="greaterThanOrEqual">
      <formula>1475</formula>
    </cfRule>
    <cfRule type="cellIs" dxfId="753" priority="860" operator="greaterThanOrEqual">
      <formula>1450</formula>
    </cfRule>
    <cfRule type="cellIs" dxfId="752" priority="861" operator="greaterThanOrEqual">
      <formula>1400</formula>
    </cfRule>
  </conditionalFormatting>
  <conditionalFormatting sqref="I179">
    <cfRule type="cellIs" dxfId="751" priority="822" operator="greaterThan">
      <formula>10000</formula>
    </cfRule>
  </conditionalFormatting>
  <conditionalFormatting sqref="I179">
    <cfRule type="cellIs" dxfId="750" priority="816" operator="greaterThan">
      <formula>10000</formula>
    </cfRule>
    <cfRule type="cellIs" dxfId="749" priority="818" operator="greaterThanOrEqual">
      <formula>1550</formula>
    </cfRule>
    <cfRule type="cellIs" dxfId="748" priority="819" operator="greaterThanOrEqual">
      <formula>1525</formula>
    </cfRule>
    <cfRule type="cellIs" dxfId="747" priority="820" operator="greaterThanOrEqual">
      <formula>1475</formula>
    </cfRule>
    <cfRule type="cellIs" dxfId="746" priority="821" operator="greaterThanOrEqual">
      <formula>1400</formula>
    </cfRule>
  </conditionalFormatting>
  <conditionalFormatting sqref="I179">
    <cfRule type="cellIs" dxfId="745" priority="817" operator="greaterThan">
      <formula>1600</formula>
    </cfRule>
  </conditionalFormatting>
  <conditionalFormatting sqref="J180">
    <cfRule type="cellIs" dxfId="744" priority="815" operator="greaterThan">
      <formula>10000</formula>
    </cfRule>
  </conditionalFormatting>
  <conditionalFormatting sqref="J180">
    <cfRule type="cellIs" dxfId="743" priority="809" operator="greaterThan">
      <formula>10000</formula>
    </cfRule>
    <cfRule type="cellIs" dxfId="742" priority="811" operator="greaterThanOrEqual">
      <formula>1550</formula>
    </cfRule>
    <cfRule type="cellIs" dxfId="741" priority="812" operator="greaterThanOrEqual">
      <formula>1525</formula>
    </cfRule>
    <cfRule type="cellIs" dxfId="740" priority="813" operator="greaterThanOrEqual">
      <formula>1475</formula>
    </cfRule>
    <cfRule type="cellIs" dxfId="739" priority="814" operator="greaterThanOrEqual">
      <formula>1400</formula>
    </cfRule>
  </conditionalFormatting>
  <conditionalFormatting sqref="J180">
    <cfRule type="cellIs" dxfId="738" priority="810" operator="greaterThan">
      <formula>1600</formula>
    </cfRule>
  </conditionalFormatting>
  <conditionalFormatting sqref="K180">
    <cfRule type="cellIs" dxfId="737" priority="805" operator="greaterThan">
      <formula>10000</formula>
    </cfRule>
    <cfRule type="cellIs" dxfId="736" priority="806" operator="greaterThanOrEqual">
      <formula>1500</formula>
    </cfRule>
    <cfRule type="cellIs" dxfId="735" priority="807" operator="greaterThanOrEqual">
      <formula>1450</formula>
    </cfRule>
    <cfRule type="cellIs" dxfId="734" priority="808" operator="greaterThan">
      <formula>1400</formula>
    </cfRule>
  </conditionalFormatting>
  <conditionalFormatting sqref="K180">
    <cfRule type="cellIs" dxfId="733" priority="800" operator="greaterThan">
      <formula>10000</formula>
    </cfRule>
    <cfRule type="cellIs" dxfId="732" priority="801" operator="greaterThanOrEqual">
      <formula>1500</formula>
    </cfRule>
    <cfRule type="cellIs" dxfId="731" priority="802" operator="greaterThanOrEqual">
      <formula>1475</formula>
    </cfRule>
    <cfRule type="cellIs" dxfId="730" priority="803" operator="greaterThanOrEqual">
      <formula>1450</formula>
    </cfRule>
    <cfRule type="cellIs" dxfId="729" priority="804" operator="greaterThanOrEqual">
      <formula>1400</formula>
    </cfRule>
  </conditionalFormatting>
  <conditionalFormatting sqref="K180">
    <cfRule type="cellIs" dxfId="728" priority="796" operator="greaterThan">
      <formula>10000</formula>
    </cfRule>
    <cfRule type="cellIs" dxfId="727" priority="797" operator="greaterThanOrEqual">
      <formula>1500</formula>
    </cfRule>
    <cfRule type="cellIs" dxfId="726" priority="798" operator="greaterThanOrEqual">
      <formula>1450</formula>
    </cfRule>
    <cfRule type="cellIs" dxfId="725" priority="799" operator="greaterThan">
      <formula>1400</formula>
    </cfRule>
  </conditionalFormatting>
  <conditionalFormatting sqref="K180">
    <cfRule type="cellIs" dxfId="724" priority="791" operator="greaterThan">
      <formula>10000</formula>
    </cfRule>
    <cfRule type="cellIs" dxfId="723" priority="792" operator="greaterThanOrEqual">
      <formula>1500</formula>
    </cfRule>
    <cfRule type="cellIs" dxfId="722" priority="793" operator="greaterThanOrEqual">
      <formula>1475</formula>
    </cfRule>
    <cfRule type="cellIs" dxfId="721" priority="794" operator="greaterThanOrEqual">
      <formula>1450</formula>
    </cfRule>
    <cfRule type="cellIs" dxfId="720" priority="795" operator="greaterThanOrEqual">
      <formula>1400</formula>
    </cfRule>
  </conditionalFormatting>
  <conditionalFormatting sqref="K180">
    <cfRule type="cellIs" dxfId="719" priority="787" operator="greaterThan">
      <formula>10000</formula>
    </cfRule>
    <cfRule type="cellIs" dxfId="718" priority="788" operator="greaterThanOrEqual">
      <formula>1500</formula>
    </cfRule>
    <cfRule type="cellIs" dxfId="717" priority="789" operator="greaterThanOrEqual">
      <formula>1450</formula>
    </cfRule>
    <cfRule type="cellIs" dxfId="716" priority="790" operator="greaterThan">
      <formula>1400</formula>
    </cfRule>
  </conditionalFormatting>
  <conditionalFormatting sqref="K180">
    <cfRule type="cellIs" dxfId="715" priority="782" operator="greaterThan">
      <formula>10000</formula>
    </cfRule>
    <cfRule type="cellIs" dxfId="714" priority="783" operator="greaterThanOrEqual">
      <formula>1500</formula>
    </cfRule>
    <cfRule type="cellIs" dxfId="713" priority="784" operator="greaterThanOrEqual">
      <formula>1475</formula>
    </cfRule>
    <cfRule type="cellIs" dxfId="712" priority="785" operator="greaterThanOrEqual">
      <formula>1450</formula>
    </cfRule>
    <cfRule type="cellIs" dxfId="711" priority="786" operator="greaterThanOrEqual">
      <formula>1400</formula>
    </cfRule>
  </conditionalFormatting>
  <conditionalFormatting sqref="I180">
    <cfRule type="cellIs" dxfId="710" priority="781" operator="greaterThan">
      <formula>10000</formula>
    </cfRule>
  </conditionalFormatting>
  <conditionalFormatting sqref="I180">
    <cfRule type="cellIs" dxfId="709" priority="775" operator="greaterThan">
      <formula>10000</formula>
    </cfRule>
    <cfRule type="cellIs" dxfId="708" priority="777" operator="greaterThanOrEqual">
      <formula>1550</formula>
    </cfRule>
    <cfRule type="cellIs" dxfId="707" priority="778" operator="greaterThanOrEqual">
      <formula>1525</formula>
    </cfRule>
    <cfRule type="cellIs" dxfId="706" priority="779" operator="greaterThanOrEqual">
      <formula>1475</formula>
    </cfRule>
    <cfRule type="cellIs" dxfId="705" priority="780" operator="greaterThanOrEqual">
      <formula>1400</formula>
    </cfRule>
  </conditionalFormatting>
  <conditionalFormatting sqref="I180">
    <cfRule type="cellIs" dxfId="704" priority="776" operator="greaterThan">
      <formula>1600</formula>
    </cfRule>
  </conditionalFormatting>
  <conditionalFormatting sqref="J181">
    <cfRule type="cellIs" dxfId="703" priority="774" operator="greaterThan">
      <formula>10000</formula>
    </cfRule>
  </conditionalFormatting>
  <conditionalFormatting sqref="J181">
    <cfRule type="cellIs" dxfId="702" priority="768" operator="greaterThan">
      <formula>10000</formula>
    </cfRule>
    <cfRule type="cellIs" dxfId="701" priority="770" operator="greaterThanOrEqual">
      <formula>1550</formula>
    </cfRule>
    <cfRule type="cellIs" dxfId="700" priority="771" operator="greaterThanOrEqual">
      <formula>1525</formula>
    </cfRule>
    <cfRule type="cellIs" dxfId="699" priority="772" operator="greaterThanOrEqual">
      <formula>1475</formula>
    </cfRule>
    <cfRule type="cellIs" dxfId="698" priority="773" operator="greaterThanOrEqual">
      <formula>1400</formula>
    </cfRule>
  </conditionalFormatting>
  <conditionalFormatting sqref="J181">
    <cfRule type="cellIs" dxfId="697" priority="769" operator="greaterThan">
      <formula>1600</formula>
    </cfRule>
  </conditionalFormatting>
  <conditionalFormatting sqref="K181">
    <cfRule type="cellIs" dxfId="696" priority="764" operator="greaterThan">
      <formula>10000</formula>
    </cfRule>
    <cfRule type="cellIs" dxfId="695" priority="765" operator="greaterThanOrEqual">
      <formula>1500</formula>
    </cfRule>
    <cfRule type="cellIs" dxfId="694" priority="766" operator="greaterThanOrEqual">
      <formula>1450</formula>
    </cfRule>
    <cfRule type="cellIs" dxfId="693" priority="767" operator="greaterThan">
      <formula>1400</formula>
    </cfRule>
  </conditionalFormatting>
  <conditionalFormatting sqref="K181">
    <cfRule type="cellIs" dxfId="692" priority="759" operator="greaterThan">
      <formula>10000</formula>
    </cfRule>
    <cfRule type="cellIs" dxfId="691" priority="760" operator="greaterThanOrEqual">
      <formula>1500</formula>
    </cfRule>
    <cfRule type="cellIs" dxfId="690" priority="761" operator="greaterThanOrEqual">
      <formula>1475</formula>
    </cfRule>
    <cfRule type="cellIs" dxfId="689" priority="762" operator="greaterThanOrEqual">
      <formula>1450</formula>
    </cfRule>
    <cfRule type="cellIs" dxfId="688" priority="763" operator="greaterThanOrEqual">
      <formula>1400</formula>
    </cfRule>
  </conditionalFormatting>
  <conditionalFormatting sqref="K181">
    <cfRule type="cellIs" dxfId="687" priority="755" operator="greaterThan">
      <formula>10000</formula>
    </cfRule>
    <cfRule type="cellIs" dxfId="686" priority="756" operator="greaterThanOrEqual">
      <formula>1500</formula>
    </cfRule>
    <cfRule type="cellIs" dxfId="685" priority="757" operator="greaterThanOrEqual">
      <formula>1450</formula>
    </cfRule>
    <cfRule type="cellIs" dxfId="684" priority="758" operator="greaterThan">
      <formula>1400</formula>
    </cfRule>
  </conditionalFormatting>
  <conditionalFormatting sqref="K181">
    <cfRule type="cellIs" dxfId="683" priority="750" operator="greaterThan">
      <formula>10000</formula>
    </cfRule>
    <cfRule type="cellIs" dxfId="682" priority="751" operator="greaterThanOrEqual">
      <formula>1500</formula>
    </cfRule>
    <cfRule type="cellIs" dxfId="681" priority="752" operator="greaterThanOrEqual">
      <formula>1475</formula>
    </cfRule>
    <cfRule type="cellIs" dxfId="680" priority="753" operator="greaterThanOrEqual">
      <formula>1450</formula>
    </cfRule>
    <cfRule type="cellIs" dxfId="679" priority="754" operator="greaterThanOrEqual">
      <formula>1400</formula>
    </cfRule>
  </conditionalFormatting>
  <conditionalFormatting sqref="K181">
    <cfRule type="cellIs" dxfId="678" priority="746" operator="greaterThan">
      <formula>10000</formula>
    </cfRule>
    <cfRule type="cellIs" dxfId="677" priority="747" operator="greaterThanOrEqual">
      <formula>1500</formula>
    </cfRule>
    <cfRule type="cellIs" dxfId="676" priority="748" operator="greaterThanOrEqual">
      <formula>1450</formula>
    </cfRule>
    <cfRule type="cellIs" dxfId="675" priority="749" operator="greaterThan">
      <formula>1400</formula>
    </cfRule>
  </conditionalFormatting>
  <conditionalFormatting sqref="K181">
    <cfRule type="cellIs" dxfId="674" priority="741" operator="greaterThan">
      <formula>10000</formula>
    </cfRule>
    <cfRule type="cellIs" dxfId="673" priority="742" operator="greaterThanOrEqual">
      <formula>1500</formula>
    </cfRule>
    <cfRule type="cellIs" dxfId="672" priority="743" operator="greaterThanOrEqual">
      <formula>1475</formula>
    </cfRule>
    <cfRule type="cellIs" dxfId="671" priority="744" operator="greaterThanOrEqual">
      <formula>1450</formula>
    </cfRule>
    <cfRule type="cellIs" dxfId="670" priority="745" operator="greaterThanOrEqual">
      <formula>1400</formula>
    </cfRule>
  </conditionalFormatting>
  <conditionalFormatting sqref="I181">
    <cfRule type="cellIs" dxfId="669" priority="740" operator="greaterThan">
      <formula>10000</formula>
    </cfRule>
  </conditionalFormatting>
  <conditionalFormatting sqref="I181">
    <cfRule type="cellIs" dxfId="668" priority="734" operator="greaterThan">
      <formula>10000</formula>
    </cfRule>
    <cfRule type="cellIs" dxfId="667" priority="736" operator="greaterThanOrEqual">
      <formula>1550</formula>
    </cfRule>
    <cfRule type="cellIs" dxfId="666" priority="737" operator="greaterThanOrEqual">
      <formula>1525</formula>
    </cfRule>
    <cfRule type="cellIs" dxfId="665" priority="738" operator="greaterThanOrEqual">
      <formula>1475</formula>
    </cfRule>
    <cfRule type="cellIs" dxfId="664" priority="739" operator="greaterThanOrEqual">
      <formula>1400</formula>
    </cfRule>
  </conditionalFormatting>
  <conditionalFormatting sqref="I181">
    <cfRule type="cellIs" dxfId="663" priority="735" operator="greaterThan">
      <formula>1600</formula>
    </cfRule>
  </conditionalFormatting>
  <conditionalFormatting sqref="J182">
    <cfRule type="cellIs" dxfId="662" priority="733" operator="greaterThan">
      <formula>10000</formula>
    </cfRule>
  </conditionalFormatting>
  <conditionalFormatting sqref="J182">
    <cfRule type="cellIs" dxfId="661" priority="727" operator="greaterThan">
      <formula>10000</formula>
    </cfRule>
    <cfRule type="cellIs" dxfId="660" priority="729" operator="greaterThanOrEqual">
      <formula>1550</formula>
    </cfRule>
    <cfRule type="cellIs" dxfId="659" priority="730" operator="greaterThanOrEqual">
      <formula>1525</formula>
    </cfRule>
    <cfRule type="cellIs" dxfId="658" priority="731" operator="greaterThanOrEqual">
      <formula>1475</formula>
    </cfRule>
    <cfRule type="cellIs" dxfId="657" priority="732" operator="greaterThanOrEqual">
      <formula>1400</formula>
    </cfRule>
  </conditionalFormatting>
  <conditionalFormatting sqref="J182">
    <cfRule type="cellIs" dxfId="656" priority="728" operator="greaterThan">
      <formula>1600</formula>
    </cfRule>
  </conditionalFormatting>
  <conditionalFormatting sqref="K182">
    <cfRule type="cellIs" dxfId="655" priority="723" operator="greaterThan">
      <formula>10000</formula>
    </cfRule>
    <cfRule type="cellIs" dxfId="654" priority="724" operator="greaterThanOrEqual">
      <formula>1500</formula>
    </cfRule>
    <cfRule type="cellIs" dxfId="653" priority="725" operator="greaterThanOrEqual">
      <formula>1450</formula>
    </cfRule>
    <cfRule type="cellIs" dxfId="652" priority="726" operator="greaterThan">
      <formula>1400</formula>
    </cfRule>
  </conditionalFormatting>
  <conditionalFormatting sqref="K182">
    <cfRule type="cellIs" dxfId="651" priority="718" operator="greaterThan">
      <formula>10000</formula>
    </cfRule>
    <cfRule type="cellIs" dxfId="650" priority="719" operator="greaterThanOrEqual">
      <formula>1500</formula>
    </cfRule>
    <cfRule type="cellIs" dxfId="649" priority="720" operator="greaterThanOrEqual">
      <formula>1475</formula>
    </cfRule>
    <cfRule type="cellIs" dxfId="648" priority="721" operator="greaterThanOrEqual">
      <formula>1450</formula>
    </cfRule>
    <cfRule type="cellIs" dxfId="647" priority="722" operator="greaterThanOrEqual">
      <formula>1400</formula>
    </cfRule>
  </conditionalFormatting>
  <conditionalFormatting sqref="K182">
    <cfRule type="cellIs" dxfId="646" priority="714" operator="greaterThan">
      <formula>10000</formula>
    </cfRule>
    <cfRule type="cellIs" dxfId="645" priority="715" operator="greaterThanOrEqual">
      <formula>1500</formula>
    </cfRule>
    <cfRule type="cellIs" dxfId="644" priority="716" operator="greaterThanOrEqual">
      <formula>1450</formula>
    </cfRule>
    <cfRule type="cellIs" dxfId="643" priority="717" operator="greaterThan">
      <formula>1400</formula>
    </cfRule>
  </conditionalFormatting>
  <conditionalFormatting sqref="K182">
    <cfRule type="cellIs" dxfId="642" priority="709" operator="greaterThan">
      <formula>10000</formula>
    </cfRule>
    <cfRule type="cellIs" dxfId="641" priority="710" operator="greaterThanOrEqual">
      <formula>1500</formula>
    </cfRule>
    <cfRule type="cellIs" dxfId="640" priority="711" operator="greaterThanOrEqual">
      <formula>1475</formula>
    </cfRule>
    <cfRule type="cellIs" dxfId="639" priority="712" operator="greaterThanOrEqual">
      <formula>1450</formula>
    </cfRule>
    <cfRule type="cellIs" dxfId="638" priority="713" operator="greaterThanOrEqual">
      <formula>1400</formula>
    </cfRule>
  </conditionalFormatting>
  <conditionalFormatting sqref="K182">
    <cfRule type="cellIs" dxfId="637" priority="705" operator="greaterThan">
      <formula>10000</formula>
    </cfRule>
    <cfRule type="cellIs" dxfId="636" priority="706" operator="greaterThanOrEqual">
      <formula>1500</formula>
    </cfRule>
    <cfRule type="cellIs" dxfId="635" priority="707" operator="greaterThanOrEqual">
      <formula>1450</formula>
    </cfRule>
    <cfRule type="cellIs" dxfId="634" priority="708" operator="greaterThan">
      <formula>1400</formula>
    </cfRule>
  </conditionalFormatting>
  <conditionalFormatting sqref="K182">
    <cfRule type="cellIs" dxfId="633" priority="700" operator="greaterThan">
      <formula>10000</formula>
    </cfRule>
    <cfRule type="cellIs" dxfId="632" priority="701" operator="greaterThanOrEqual">
      <formula>1500</formula>
    </cfRule>
    <cfRule type="cellIs" dxfId="631" priority="702" operator="greaterThanOrEqual">
      <formula>1475</formula>
    </cfRule>
    <cfRule type="cellIs" dxfId="630" priority="703" operator="greaterThanOrEqual">
      <formula>1450</formula>
    </cfRule>
    <cfRule type="cellIs" dxfId="629" priority="704" operator="greaterThanOrEqual">
      <formula>1400</formula>
    </cfRule>
  </conditionalFormatting>
  <conditionalFormatting sqref="I182">
    <cfRule type="cellIs" dxfId="628" priority="699" operator="greaterThan">
      <formula>10000</formula>
    </cfRule>
  </conditionalFormatting>
  <conditionalFormatting sqref="I182">
    <cfRule type="cellIs" dxfId="627" priority="693" operator="greaterThan">
      <formula>10000</formula>
    </cfRule>
    <cfRule type="cellIs" dxfId="626" priority="695" operator="greaterThanOrEqual">
      <formula>1550</formula>
    </cfRule>
    <cfRule type="cellIs" dxfId="625" priority="696" operator="greaterThanOrEqual">
      <formula>1525</formula>
    </cfRule>
    <cfRule type="cellIs" dxfId="624" priority="697" operator="greaterThanOrEqual">
      <formula>1475</formula>
    </cfRule>
    <cfRule type="cellIs" dxfId="623" priority="698" operator="greaterThanOrEqual">
      <formula>1400</formula>
    </cfRule>
  </conditionalFormatting>
  <conditionalFormatting sqref="I182">
    <cfRule type="cellIs" dxfId="622" priority="694" operator="greaterThan">
      <formula>1600</formula>
    </cfRule>
  </conditionalFormatting>
  <conditionalFormatting sqref="J183">
    <cfRule type="cellIs" dxfId="621" priority="692" operator="greaterThan">
      <formula>10000</formula>
    </cfRule>
  </conditionalFormatting>
  <conditionalFormatting sqref="J183">
    <cfRule type="cellIs" dxfId="620" priority="686" operator="greaterThan">
      <formula>10000</formula>
    </cfRule>
    <cfRule type="cellIs" dxfId="619" priority="688" operator="greaterThanOrEqual">
      <formula>1550</formula>
    </cfRule>
    <cfRule type="cellIs" dxfId="618" priority="689" operator="greaterThanOrEqual">
      <formula>1525</formula>
    </cfRule>
    <cfRule type="cellIs" dxfId="617" priority="690" operator="greaterThanOrEqual">
      <formula>1475</formula>
    </cfRule>
    <cfRule type="cellIs" dxfId="616" priority="691" operator="greaterThanOrEqual">
      <formula>1400</formula>
    </cfRule>
  </conditionalFormatting>
  <conditionalFormatting sqref="J183">
    <cfRule type="cellIs" dxfId="615" priority="687" operator="greaterThan">
      <formula>1600</formula>
    </cfRule>
  </conditionalFormatting>
  <conditionalFormatting sqref="K183">
    <cfRule type="cellIs" dxfId="614" priority="682" operator="greaterThan">
      <formula>10000</formula>
    </cfRule>
    <cfRule type="cellIs" dxfId="613" priority="683" operator="greaterThanOrEqual">
      <formula>1500</formula>
    </cfRule>
    <cfRule type="cellIs" dxfId="612" priority="684" operator="greaterThanOrEqual">
      <formula>1450</formula>
    </cfRule>
    <cfRule type="cellIs" dxfId="611" priority="685" operator="greaterThan">
      <formula>1400</formula>
    </cfRule>
  </conditionalFormatting>
  <conditionalFormatting sqref="K183">
    <cfRule type="cellIs" dxfId="610" priority="677" operator="greaterThan">
      <formula>10000</formula>
    </cfRule>
    <cfRule type="cellIs" dxfId="609" priority="678" operator="greaterThanOrEqual">
      <formula>1500</formula>
    </cfRule>
    <cfRule type="cellIs" dxfId="608" priority="679" operator="greaterThanOrEqual">
      <formula>1475</formula>
    </cfRule>
    <cfRule type="cellIs" dxfId="607" priority="680" operator="greaterThanOrEqual">
      <formula>1450</formula>
    </cfRule>
    <cfRule type="cellIs" dxfId="606" priority="681" operator="greaterThanOrEqual">
      <formula>1400</formula>
    </cfRule>
  </conditionalFormatting>
  <conditionalFormatting sqref="K183">
    <cfRule type="cellIs" dxfId="605" priority="673" operator="greaterThan">
      <formula>10000</formula>
    </cfRule>
    <cfRule type="cellIs" dxfId="604" priority="674" operator="greaterThanOrEqual">
      <formula>1500</formula>
    </cfRule>
    <cfRule type="cellIs" dxfId="603" priority="675" operator="greaterThanOrEqual">
      <formula>1450</formula>
    </cfRule>
    <cfRule type="cellIs" dxfId="602" priority="676" operator="greaterThan">
      <formula>1400</formula>
    </cfRule>
  </conditionalFormatting>
  <conditionalFormatting sqref="K183">
    <cfRule type="cellIs" dxfId="601" priority="668" operator="greaterThan">
      <formula>10000</formula>
    </cfRule>
    <cfRule type="cellIs" dxfId="600" priority="669" operator="greaterThanOrEqual">
      <formula>1500</formula>
    </cfRule>
    <cfRule type="cellIs" dxfId="599" priority="670" operator="greaterThanOrEqual">
      <formula>1475</formula>
    </cfRule>
    <cfRule type="cellIs" dxfId="598" priority="671" operator="greaterThanOrEqual">
      <formula>1450</formula>
    </cfRule>
    <cfRule type="cellIs" dxfId="597" priority="672" operator="greaterThanOrEqual">
      <formula>1400</formula>
    </cfRule>
  </conditionalFormatting>
  <conditionalFormatting sqref="K183">
    <cfRule type="cellIs" dxfId="596" priority="664" operator="greaterThan">
      <formula>10000</formula>
    </cfRule>
    <cfRule type="cellIs" dxfId="595" priority="665" operator="greaterThanOrEqual">
      <formula>1500</formula>
    </cfRule>
    <cfRule type="cellIs" dxfId="594" priority="666" operator="greaterThanOrEqual">
      <formula>1450</formula>
    </cfRule>
    <cfRule type="cellIs" dxfId="593" priority="667" operator="greaterThan">
      <formula>1400</formula>
    </cfRule>
  </conditionalFormatting>
  <conditionalFormatting sqref="K183">
    <cfRule type="cellIs" dxfId="592" priority="659" operator="greaterThan">
      <formula>10000</formula>
    </cfRule>
    <cfRule type="cellIs" dxfId="591" priority="660" operator="greaterThanOrEqual">
      <formula>1500</formula>
    </cfRule>
    <cfRule type="cellIs" dxfId="590" priority="661" operator="greaterThanOrEqual">
      <formula>1475</formula>
    </cfRule>
    <cfRule type="cellIs" dxfId="589" priority="662" operator="greaterThanOrEqual">
      <formula>1450</formula>
    </cfRule>
    <cfRule type="cellIs" dxfId="588" priority="663" operator="greaterThanOrEqual">
      <formula>1400</formula>
    </cfRule>
  </conditionalFormatting>
  <conditionalFormatting sqref="I183">
    <cfRule type="cellIs" dxfId="587" priority="658" operator="greaterThan">
      <formula>10000</formula>
    </cfRule>
  </conditionalFormatting>
  <conditionalFormatting sqref="I183">
    <cfRule type="cellIs" dxfId="586" priority="652" operator="greaterThan">
      <formula>10000</formula>
    </cfRule>
    <cfRule type="cellIs" dxfId="585" priority="654" operator="greaterThanOrEqual">
      <formula>1550</formula>
    </cfRule>
    <cfRule type="cellIs" dxfId="584" priority="655" operator="greaterThanOrEqual">
      <formula>1525</formula>
    </cfRule>
    <cfRule type="cellIs" dxfId="583" priority="656" operator="greaterThanOrEqual">
      <formula>1475</formula>
    </cfRule>
    <cfRule type="cellIs" dxfId="582" priority="657" operator="greaterThanOrEqual">
      <formula>1400</formula>
    </cfRule>
  </conditionalFormatting>
  <conditionalFormatting sqref="I183">
    <cfRule type="cellIs" dxfId="581" priority="653" operator="greaterThan">
      <formula>1600</formula>
    </cfRule>
  </conditionalFormatting>
  <conditionalFormatting sqref="J184">
    <cfRule type="cellIs" dxfId="580" priority="651" operator="greaterThan">
      <formula>10000</formula>
    </cfRule>
  </conditionalFormatting>
  <conditionalFormatting sqref="J184">
    <cfRule type="cellIs" dxfId="579" priority="645" operator="greaterThan">
      <formula>10000</formula>
    </cfRule>
    <cfRule type="cellIs" dxfId="578" priority="647" operator="greaterThanOrEqual">
      <formula>1550</formula>
    </cfRule>
    <cfRule type="cellIs" dxfId="577" priority="648" operator="greaterThanOrEqual">
      <formula>1525</formula>
    </cfRule>
    <cfRule type="cellIs" dxfId="576" priority="649" operator="greaterThanOrEqual">
      <formula>1475</formula>
    </cfRule>
    <cfRule type="cellIs" dxfId="575" priority="650" operator="greaterThanOrEqual">
      <formula>1400</formula>
    </cfRule>
  </conditionalFormatting>
  <conditionalFormatting sqref="J184">
    <cfRule type="cellIs" dxfId="574" priority="646" operator="greaterThan">
      <formula>1600</formula>
    </cfRule>
  </conditionalFormatting>
  <conditionalFormatting sqref="K184">
    <cfRule type="cellIs" dxfId="573" priority="641" operator="greaterThan">
      <formula>10000</formula>
    </cfRule>
    <cfRule type="cellIs" dxfId="572" priority="642" operator="greaterThanOrEqual">
      <formula>1500</formula>
    </cfRule>
    <cfRule type="cellIs" dxfId="571" priority="643" operator="greaterThanOrEqual">
      <formula>1450</formula>
    </cfRule>
    <cfRule type="cellIs" dxfId="570" priority="644" operator="greaterThan">
      <formula>1400</formula>
    </cfRule>
  </conditionalFormatting>
  <conditionalFormatting sqref="K184">
    <cfRule type="cellIs" dxfId="569" priority="636" operator="greaterThan">
      <formula>10000</formula>
    </cfRule>
    <cfRule type="cellIs" dxfId="568" priority="637" operator="greaterThanOrEqual">
      <formula>1500</formula>
    </cfRule>
    <cfRule type="cellIs" dxfId="567" priority="638" operator="greaterThanOrEqual">
      <formula>1475</formula>
    </cfRule>
    <cfRule type="cellIs" dxfId="566" priority="639" operator="greaterThanOrEqual">
      <formula>1450</formula>
    </cfRule>
    <cfRule type="cellIs" dxfId="565" priority="640" operator="greaterThanOrEqual">
      <formula>1400</formula>
    </cfRule>
  </conditionalFormatting>
  <conditionalFormatting sqref="K184">
    <cfRule type="cellIs" dxfId="564" priority="632" operator="greaterThan">
      <formula>10000</formula>
    </cfRule>
    <cfRule type="cellIs" dxfId="563" priority="633" operator="greaterThanOrEqual">
      <formula>1500</formula>
    </cfRule>
    <cfRule type="cellIs" dxfId="562" priority="634" operator="greaterThanOrEqual">
      <formula>1450</formula>
    </cfRule>
    <cfRule type="cellIs" dxfId="561" priority="635" operator="greaterThan">
      <formula>1400</formula>
    </cfRule>
  </conditionalFormatting>
  <conditionalFormatting sqref="K184">
    <cfRule type="cellIs" dxfId="560" priority="627" operator="greaterThan">
      <formula>10000</formula>
    </cfRule>
    <cfRule type="cellIs" dxfId="559" priority="628" operator="greaterThanOrEqual">
      <formula>1500</formula>
    </cfRule>
    <cfRule type="cellIs" dxfId="558" priority="629" operator="greaterThanOrEqual">
      <formula>1475</formula>
    </cfRule>
    <cfRule type="cellIs" dxfId="557" priority="630" operator="greaterThanOrEqual">
      <formula>1450</formula>
    </cfRule>
    <cfRule type="cellIs" dxfId="556" priority="631" operator="greaterThanOrEqual">
      <formula>1400</formula>
    </cfRule>
  </conditionalFormatting>
  <conditionalFormatting sqref="I184">
    <cfRule type="cellIs" dxfId="555" priority="617" operator="greaterThan">
      <formula>10000</formula>
    </cfRule>
  </conditionalFormatting>
  <conditionalFormatting sqref="I184">
    <cfRule type="cellIs" dxfId="554" priority="611" operator="greaterThan">
      <formula>10000</formula>
    </cfRule>
    <cfRule type="cellIs" dxfId="553" priority="613" operator="greaterThanOrEqual">
      <formula>1550</formula>
    </cfRule>
    <cfRule type="cellIs" dxfId="552" priority="614" operator="greaterThanOrEqual">
      <formula>1525</formula>
    </cfRule>
    <cfRule type="cellIs" dxfId="551" priority="615" operator="greaterThanOrEqual">
      <formula>1475</formula>
    </cfRule>
    <cfRule type="cellIs" dxfId="550" priority="616" operator="greaterThanOrEqual">
      <formula>1400</formula>
    </cfRule>
  </conditionalFormatting>
  <conditionalFormatting sqref="I184">
    <cfRule type="cellIs" dxfId="549" priority="612" operator="greaterThan">
      <formula>1600</formula>
    </cfRule>
  </conditionalFormatting>
  <conditionalFormatting sqref="I177:J177">
    <cfRule type="cellIs" dxfId="548" priority="610" operator="greaterThan">
      <formula>10000</formula>
    </cfRule>
  </conditionalFormatting>
  <conditionalFormatting sqref="I177:J177">
    <cfRule type="cellIs" dxfId="547" priority="604" operator="greaterThan">
      <formula>10000</formula>
    </cfRule>
    <cfRule type="cellIs" dxfId="546" priority="606" operator="greaterThanOrEqual">
      <formula>1550</formula>
    </cfRule>
    <cfRule type="cellIs" dxfId="545" priority="607" operator="greaterThanOrEqual">
      <formula>1525</formula>
    </cfRule>
    <cfRule type="cellIs" dxfId="544" priority="608" operator="greaterThanOrEqual">
      <formula>1475</formula>
    </cfRule>
    <cfRule type="cellIs" dxfId="543" priority="609" operator="greaterThanOrEqual">
      <formula>1400</formula>
    </cfRule>
  </conditionalFormatting>
  <conditionalFormatting sqref="I177:J177">
    <cfRule type="cellIs" dxfId="542" priority="605" operator="greaterThan">
      <formula>1600</formula>
    </cfRule>
  </conditionalFormatting>
  <conditionalFormatting sqref="K177">
    <cfRule type="cellIs" dxfId="541" priority="600" operator="greaterThan">
      <formula>10000</formula>
    </cfRule>
    <cfRule type="cellIs" dxfId="540" priority="601" operator="greaterThanOrEqual">
      <formula>1500</formula>
    </cfRule>
    <cfRule type="cellIs" dxfId="539" priority="602" operator="greaterThanOrEqual">
      <formula>1450</formula>
    </cfRule>
    <cfRule type="cellIs" dxfId="538" priority="603" operator="greaterThan">
      <formula>1400</formula>
    </cfRule>
  </conditionalFormatting>
  <conditionalFormatting sqref="K177">
    <cfRule type="cellIs" dxfId="537" priority="595" operator="greaterThan">
      <formula>10000</formula>
    </cfRule>
    <cfRule type="cellIs" dxfId="536" priority="596" operator="greaterThanOrEqual">
      <formula>1500</formula>
    </cfRule>
    <cfRule type="cellIs" dxfId="535" priority="597" operator="greaterThanOrEqual">
      <formula>1475</formula>
    </cfRule>
    <cfRule type="cellIs" dxfId="534" priority="598" operator="greaterThanOrEqual">
      <formula>1450</formula>
    </cfRule>
    <cfRule type="cellIs" dxfId="533" priority="599" operator="greaterThanOrEqual">
      <formula>1400</formula>
    </cfRule>
  </conditionalFormatting>
  <conditionalFormatting sqref="K177">
    <cfRule type="cellIs" dxfId="532" priority="591" operator="greaterThan">
      <formula>10000</formula>
    </cfRule>
    <cfRule type="cellIs" dxfId="531" priority="592" operator="greaterThanOrEqual">
      <formula>1500</formula>
    </cfRule>
    <cfRule type="cellIs" dxfId="530" priority="593" operator="greaterThanOrEqual">
      <formula>1450</formula>
    </cfRule>
    <cfRule type="cellIs" dxfId="529" priority="594" operator="greaterThan">
      <formula>1400</formula>
    </cfRule>
  </conditionalFormatting>
  <conditionalFormatting sqref="K177">
    <cfRule type="cellIs" dxfId="528" priority="586" operator="greaterThan">
      <formula>10000</formula>
    </cfRule>
    <cfRule type="cellIs" dxfId="527" priority="587" operator="greaterThanOrEqual">
      <formula>1500</formula>
    </cfRule>
    <cfRule type="cellIs" dxfId="526" priority="588" operator="greaterThanOrEqual">
      <formula>1475</formula>
    </cfRule>
    <cfRule type="cellIs" dxfId="525" priority="589" operator="greaterThanOrEqual">
      <formula>1450</formula>
    </cfRule>
    <cfRule type="cellIs" dxfId="524" priority="590" operator="greaterThanOrEqual">
      <formula>1400</formula>
    </cfRule>
  </conditionalFormatting>
  <conditionalFormatting sqref="K177">
    <cfRule type="cellIs" dxfId="523" priority="582" operator="greaterThan">
      <formula>10000</formula>
    </cfRule>
    <cfRule type="cellIs" dxfId="522" priority="583" operator="greaterThanOrEqual">
      <formula>1500</formula>
    </cfRule>
    <cfRule type="cellIs" dxfId="521" priority="584" operator="greaterThanOrEqual">
      <formula>1450</formula>
    </cfRule>
    <cfRule type="cellIs" dxfId="520" priority="585" operator="greaterThan">
      <formula>1400</formula>
    </cfRule>
  </conditionalFormatting>
  <conditionalFormatting sqref="K177">
    <cfRule type="cellIs" dxfId="519" priority="577" operator="greaterThan">
      <formula>10000</formula>
    </cfRule>
    <cfRule type="cellIs" dxfId="518" priority="578" operator="greaterThanOrEqual">
      <formula>1500</formula>
    </cfRule>
    <cfRule type="cellIs" dxfId="517" priority="579" operator="greaterThanOrEqual">
      <formula>1475</formula>
    </cfRule>
    <cfRule type="cellIs" dxfId="516" priority="580" operator="greaterThanOrEqual">
      <formula>1450</formula>
    </cfRule>
    <cfRule type="cellIs" dxfId="515" priority="581" operator="greaterThanOrEqual">
      <formula>1400</formula>
    </cfRule>
  </conditionalFormatting>
  <conditionalFormatting sqref="K234:K235">
    <cfRule type="cellIs" dxfId="514" priority="573" operator="greaterThan">
      <formula>10000</formula>
    </cfRule>
    <cfRule type="cellIs" dxfId="513" priority="574" operator="greaterThanOrEqual">
      <formula>1500</formula>
    </cfRule>
    <cfRule type="cellIs" dxfId="512" priority="575" operator="greaterThanOrEqual">
      <formula>1450</formula>
    </cfRule>
    <cfRule type="cellIs" dxfId="511" priority="576" operator="greaterThan">
      <formula>1400</formula>
    </cfRule>
  </conditionalFormatting>
  <conditionalFormatting sqref="K234:K235">
    <cfRule type="cellIs" dxfId="510" priority="568" operator="greaterThan">
      <formula>10000</formula>
    </cfRule>
    <cfRule type="cellIs" dxfId="509" priority="569" operator="greaterThanOrEqual">
      <formula>1500</formula>
    </cfRule>
    <cfRule type="cellIs" dxfId="508" priority="570" operator="greaterThanOrEqual">
      <formula>1475</formula>
    </cfRule>
    <cfRule type="cellIs" dxfId="507" priority="571" operator="greaterThanOrEqual">
      <formula>1450</formula>
    </cfRule>
    <cfRule type="cellIs" dxfId="506" priority="572" operator="greaterThanOrEqual">
      <formula>1400</formula>
    </cfRule>
  </conditionalFormatting>
  <conditionalFormatting sqref="K234:K235">
    <cfRule type="cellIs" dxfId="505" priority="564" operator="greaterThan">
      <formula>10000</formula>
    </cfRule>
    <cfRule type="cellIs" dxfId="504" priority="565" operator="greaterThanOrEqual">
      <formula>1500</formula>
    </cfRule>
    <cfRule type="cellIs" dxfId="503" priority="566" operator="greaterThanOrEqual">
      <formula>1450</formula>
    </cfRule>
    <cfRule type="cellIs" dxfId="502" priority="567" operator="greaterThan">
      <formula>1400</formula>
    </cfRule>
  </conditionalFormatting>
  <conditionalFormatting sqref="K234:K235">
    <cfRule type="cellIs" dxfId="501" priority="559" operator="greaterThan">
      <formula>10000</formula>
    </cfRule>
    <cfRule type="cellIs" dxfId="500" priority="560" operator="greaterThanOrEqual">
      <formula>1500</formula>
    </cfRule>
    <cfRule type="cellIs" dxfId="499" priority="561" operator="greaterThanOrEqual">
      <formula>1475</formula>
    </cfRule>
    <cfRule type="cellIs" dxfId="498" priority="562" operator="greaterThanOrEqual">
      <formula>1450</formula>
    </cfRule>
    <cfRule type="cellIs" dxfId="497" priority="563" operator="greaterThanOrEqual">
      <formula>1400</formula>
    </cfRule>
  </conditionalFormatting>
  <conditionalFormatting sqref="K234:K235">
    <cfRule type="cellIs" dxfId="496" priority="555" operator="greaterThan">
      <formula>10000</formula>
    </cfRule>
    <cfRule type="cellIs" dxfId="495" priority="556" operator="greaterThanOrEqual">
      <formula>1500</formula>
    </cfRule>
    <cfRule type="cellIs" dxfId="494" priority="557" operator="greaterThanOrEqual">
      <formula>1450</formula>
    </cfRule>
    <cfRule type="cellIs" dxfId="493" priority="558" operator="greaterThan">
      <formula>1400</formula>
    </cfRule>
  </conditionalFormatting>
  <conditionalFormatting sqref="K234:K235">
    <cfRule type="cellIs" dxfId="492" priority="550" operator="greaterThan">
      <formula>10000</formula>
    </cfRule>
    <cfRule type="cellIs" dxfId="491" priority="551" operator="greaterThanOrEqual">
      <formula>1500</formula>
    </cfRule>
    <cfRule type="cellIs" dxfId="490" priority="552" operator="greaterThanOrEqual">
      <formula>1475</formula>
    </cfRule>
    <cfRule type="cellIs" dxfId="489" priority="553" operator="greaterThanOrEqual">
      <formula>1450</formula>
    </cfRule>
    <cfRule type="cellIs" dxfId="488" priority="554" operator="greaterThanOrEqual">
      <formula>1400</formula>
    </cfRule>
  </conditionalFormatting>
  <conditionalFormatting sqref="F234">
    <cfRule type="top10" priority="549" bottom="1" rank="3"/>
  </conditionalFormatting>
  <conditionalFormatting sqref="F234">
    <cfRule type="cellIs" dxfId="487" priority="548" operator="between">
      <formula>0.1</formula>
      <formula>89</formula>
    </cfRule>
  </conditionalFormatting>
  <conditionalFormatting sqref="I239">
    <cfRule type="cellIs" dxfId="486" priority="547" operator="greaterThan">
      <formula>10000</formula>
    </cfRule>
  </conditionalFormatting>
  <conditionalFormatting sqref="I239">
    <cfRule type="cellIs" dxfId="485" priority="541" operator="greaterThan">
      <formula>10000</formula>
    </cfRule>
    <cfRule type="cellIs" dxfId="484" priority="543" operator="greaterThanOrEqual">
      <formula>1550</formula>
    </cfRule>
    <cfRule type="cellIs" dxfId="483" priority="544" operator="greaterThanOrEqual">
      <formula>1525</formula>
    </cfRule>
    <cfRule type="cellIs" dxfId="482" priority="545" operator="greaterThanOrEqual">
      <formula>1475</formula>
    </cfRule>
    <cfRule type="cellIs" dxfId="481" priority="546" operator="greaterThanOrEqual">
      <formula>1400</formula>
    </cfRule>
  </conditionalFormatting>
  <conditionalFormatting sqref="I239">
    <cfRule type="cellIs" dxfId="480" priority="542" operator="greaterThan">
      <formula>1600</formula>
    </cfRule>
  </conditionalFormatting>
  <conditionalFormatting sqref="J239">
    <cfRule type="cellIs" dxfId="479" priority="540" operator="greaterThan">
      <formula>10000</formula>
    </cfRule>
  </conditionalFormatting>
  <conditionalFormatting sqref="J239">
    <cfRule type="cellIs" dxfId="478" priority="534" operator="greaterThan">
      <formula>10000</formula>
    </cfRule>
    <cfRule type="cellIs" dxfId="477" priority="536" operator="greaterThanOrEqual">
      <formula>1550</formula>
    </cfRule>
    <cfRule type="cellIs" dxfId="476" priority="537" operator="greaterThanOrEqual">
      <formula>1525</formula>
    </cfRule>
    <cfRule type="cellIs" dxfId="475" priority="538" operator="greaterThanOrEqual">
      <formula>1475</formula>
    </cfRule>
    <cfRule type="cellIs" dxfId="474" priority="539" operator="greaterThanOrEqual">
      <formula>1400</formula>
    </cfRule>
  </conditionalFormatting>
  <conditionalFormatting sqref="J239">
    <cfRule type="cellIs" dxfId="473" priority="535" operator="greaterThan">
      <formula>1600</formula>
    </cfRule>
  </conditionalFormatting>
  <conditionalFormatting sqref="K239">
    <cfRule type="cellIs" dxfId="472" priority="530" operator="greaterThan">
      <formula>10000</formula>
    </cfRule>
    <cfRule type="cellIs" dxfId="471" priority="531" operator="greaterThanOrEqual">
      <formula>1500</formula>
    </cfRule>
    <cfRule type="cellIs" dxfId="470" priority="532" operator="greaterThanOrEqual">
      <formula>1450</formula>
    </cfRule>
    <cfRule type="cellIs" dxfId="469" priority="533" operator="greaterThan">
      <formula>1400</formula>
    </cfRule>
  </conditionalFormatting>
  <conditionalFormatting sqref="K239">
    <cfRule type="cellIs" dxfId="468" priority="525" operator="greaterThan">
      <formula>10000</formula>
    </cfRule>
    <cfRule type="cellIs" dxfId="467" priority="526" operator="greaterThanOrEqual">
      <formula>1500</formula>
    </cfRule>
    <cfRule type="cellIs" dxfId="466" priority="527" operator="greaterThanOrEqual">
      <formula>1475</formula>
    </cfRule>
    <cfRule type="cellIs" dxfId="465" priority="528" operator="greaterThanOrEqual">
      <formula>1450</formula>
    </cfRule>
    <cfRule type="cellIs" dxfId="464" priority="529" operator="greaterThanOrEqual">
      <formula>1400</formula>
    </cfRule>
  </conditionalFormatting>
  <conditionalFormatting sqref="K239">
    <cfRule type="cellIs" dxfId="463" priority="521" operator="greaterThan">
      <formula>10000</formula>
    </cfRule>
    <cfRule type="cellIs" dxfId="462" priority="522" operator="greaterThanOrEqual">
      <formula>1500</formula>
    </cfRule>
    <cfRule type="cellIs" dxfId="461" priority="523" operator="greaterThanOrEqual">
      <formula>1450</formula>
    </cfRule>
    <cfRule type="cellIs" dxfId="460" priority="524" operator="greaterThan">
      <formula>1400</formula>
    </cfRule>
  </conditionalFormatting>
  <conditionalFormatting sqref="K239">
    <cfRule type="cellIs" dxfId="459" priority="516" operator="greaterThan">
      <formula>10000</formula>
    </cfRule>
    <cfRule type="cellIs" dxfId="458" priority="517" operator="greaterThanOrEqual">
      <formula>1500</formula>
    </cfRule>
    <cfRule type="cellIs" dxfId="457" priority="518" operator="greaterThanOrEqual">
      <formula>1475</formula>
    </cfRule>
    <cfRule type="cellIs" dxfId="456" priority="519" operator="greaterThanOrEqual">
      <formula>1450</formula>
    </cfRule>
    <cfRule type="cellIs" dxfId="455" priority="520" operator="greaterThanOrEqual">
      <formula>1400</formula>
    </cfRule>
  </conditionalFormatting>
  <conditionalFormatting sqref="K239">
    <cfRule type="cellIs" dxfId="454" priority="512" operator="greaterThan">
      <formula>10000</formula>
    </cfRule>
    <cfRule type="cellIs" dxfId="453" priority="513" operator="greaterThanOrEqual">
      <formula>1500</formula>
    </cfRule>
    <cfRule type="cellIs" dxfId="452" priority="514" operator="greaterThanOrEqual">
      <formula>1450</formula>
    </cfRule>
    <cfRule type="cellIs" dxfId="451" priority="515" operator="greaterThan">
      <formula>1400</formula>
    </cfRule>
  </conditionalFormatting>
  <conditionalFormatting sqref="K239">
    <cfRule type="cellIs" dxfId="450" priority="507" operator="greaterThan">
      <formula>10000</formula>
    </cfRule>
    <cfRule type="cellIs" dxfId="449" priority="508" operator="greaterThanOrEqual">
      <formula>1500</formula>
    </cfRule>
    <cfRule type="cellIs" dxfId="448" priority="509" operator="greaterThanOrEqual">
      <formula>1475</formula>
    </cfRule>
    <cfRule type="cellIs" dxfId="447" priority="510" operator="greaterThanOrEqual">
      <formula>1450</formula>
    </cfRule>
    <cfRule type="cellIs" dxfId="446" priority="511" operator="greaterThanOrEqual">
      <formula>1400</formula>
    </cfRule>
  </conditionalFormatting>
  <conditionalFormatting sqref="K226">
    <cfRule type="cellIs" dxfId="445" priority="503" operator="greaterThan">
      <formula>10000</formula>
    </cfRule>
    <cfRule type="cellIs" dxfId="444" priority="504" operator="greaterThanOrEqual">
      <formula>1500</formula>
    </cfRule>
    <cfRule type="cellIs" dxfId="443" priority="505" operator="greaterThanOrEqual">
      <formula>1450</formula>
    </cfRule>
    <cfRule type="cellIs" dxfId="442" priority="506" operator="greaterThan">
      <formula>1400</formula>
    </cfRule>
  </conditionalFormatting>
  <conditionalFormatting sqref="K226">
    <cfRule type="cellIs" dxfId="441" priority="498" operator="greaterThan">
      <formula>10000</formula>
    </cfRule>
    <cfRule type="cellIs" dxfId="440" priority="499" operator="greaterThanOrEqual">
      <formula>1500</formula>
    </cfRule>
    <cfRule type="cellIs" dxfId="439" priority="500" operator="greaterThanOrEqual">
      <formula>1475</formula>
    </cfRule>
    <cfRule type="cellIs" dxfId="438" priority="501" operator="greaterThanOrEqual">
      <formula>1450</formula>
    </cfRule>
    <cfRule type="cellIs" dxfId="437" priority="502" operator="greaterThanOrEqual">
      <formula>1400</formula>
    </cfRule>
  </conditionalFormatting>
  <conditionalFormatting sqref="H226">
    <cfRule type="cellIs" dxfId="436" priority="497" operator="greaterThan">
      <formula>10000</formula>
    </cfRule>
  </conditionalFormatting>
  <conditionalFormatting sqref="H226">
    <cfRule type="cellIs" dxfId="435" priority="491" operator="greaterThan">
      <formula>10000</formula>
    </cfRule>
    <cfRule type="cellIs" dxfId="434" priority="493" operator="greaterThanOrEqual">
      <formula>1550</formula>
    </cfRule>
    <cfRule type="cellIs" dxfId="433" priority="494" operator="greaterThanOrEqual">
      <formula>1525</formula>
    </cfRule>
    <cfRule type="cellIs" dxfId="432" priority="495" operator="greaterThanOrEqual">
      <formula>1475</formula>
    </cfRule>
    <cfRule type="cellIs" dxfId="431" priority="496" operator="greaterThanOrEqual">
      <formula>1400</formula>
    </cfRule>
  </conditionalFormatting>
  <conditionalFormatting sqref="H226">
    <cfRule type="cellIs" dxfId="430" priority="492" operator="greaterThan">
      <formula>1600</formula>
    </cfRule>
  </conditionalFormatting>
  <conditionalFormatting sqref="E226">
    <cfRule type="cellIs" dxfId="429" priority="490" operator="between">
      <formula>0.1</formula>
      <formula>35</formula>
    </cfRule>
  </conditionalFormatting>
  <conditionalFormatting sqref="B226:D226">
    <cfRule type="cellIs" dxfId="428" priority="489" operator="between">
      <formula>0.1</formula>
      <formula>15</formula>
    </cfRule>
  </conditionalFormatting>
  <conditionalFormatting sqref="I226">
    <cfRule type="cellIs" dxfId="427" priority="488" operator="greaterThan">
      <formula>10000</formula>
    </cfRule>
  </conditionalFormatting>
  <conditionalFormatting sqref="I226">
    <cfRule type="cellIs" dxfId="426" priority="482" operator="greaterThan">
      <formula>10000</formula>
    </cfRule>
    <cfRule type="cellIs" dxfId="425" priority="484" operator="greaterThanOrEqual">
      <formula>1550</formula>
    </cfRule>
    <cfRule type="cellIs" dxfId="424" priority="485" operator="greaterThanOrEqual">
      <formula>1525</formula>
    </cfRule>
    <cfRule type="cellIs" dxfId="423" priority="486" operator="greaterThanOrEqual">
      <formula>1475</formula>
    </cfRule>
    <cfRule type="cellIs" dxfId="422" priority="487" operator="greaterThanOrEqual">
      <formula>1400</formula>
    </cfRule>
  </conditionalFormatting>
  <conditionalFormatting sqref="I226">
    <cfRule type="cellIs" dxfId="421" priority="483" operator="greaterThan">
      <formula>1600</formula>
    </cfRule>
  </conditionalFormatting>
  <conditionalFormatting sqref="J226">
    <cfRule type="cellIs" dxfId="420" priority="472" operator="greaterThan">
      <formula>10000</formula>
    </cfRule>
  </conditionalFormatting>
  <conditionalFormatting sqref="K226">
    <cfRule type="cellIs" dxfId="419" priority="478" operator="greaterThan">
      <formula>10000</formula>
    </cfRule>
    <cfRule type="cellIs" dxfId="418" priority="479" operator="greaterThanOrEqual">
      <formula>1500</formula>
    </cfRule>
    <cfRule type="cellIs" dxfId="417" priority="480" operator="greaterThanOrEqual">
      <formula>1450</formula>
    </cfRule>
    <cfRule type="cellIs" dxfId="416" priority="481" operator="greaterThan">
      <formula>1400</formula>
    </cfRule>
  </conditionalFormatting>
  <conditionalFormatting sqref="K226">
    <cfRule type="cellIs" dxfId="415" priority="473" operator="greaterThan">
      <formula>10000</formula>
    </cfRule>
    <cfRule type="cellIs" dxfId="414" priority="474" operator="greaterThanOrEqual">
      <formula>1500</formula>
    </cfRule>
    <cfRule type="cellIs" dxfId="413" priority="475" operator="greaterThanOrEqual">
      <formula>1475</formula>
    </cfRule>
    <cfRule type="cellIs" dxfId="412" priority="476" operator="greaterThanOrEqual">
      <formula>1450</formula>
    </cfRule>
    <cfRule type="cellIs" dxfId="411" priority="477" operator="greaterThanOrEqual">
      <formula>1400</formula>
    </cfRule>
  </conditionalFormatting>
  <conditionalFormatting sqref="J226">
    <cfRule type="cellIs" dxfId="410" priority="466" operator="greaterThan">
      <formula>10000</formula>
    </cfRule>
    <cfRule type="cellIs" dxfId="409" priority="468" operator="greaterThanOrEqual">
      <formula>1550</formula>
    </cfRule>
    <cfRule type="cellIs" dxfId="408" priority="469" operator="greaterThanOrEqual">
      <formula>1525</formula>
    </cfRule>
    <cfRule type="cellIs" dxfId="407" priority="470" operator="greaterThanOrEqual">
      <formula>1475</formula>
    </cfRule>
    <cfRule type="cellIs" dxfId="406" priority="471" operator="greaterThanOrEqual">
      <formula>1400</formula>
    </cfRule>
  </conditionalFormatting>
  <conditionalFormatting sqref="J226">
    <cfRule type="cellIs" dxfId="405" priority="467" operator="greaterThan">
      <formula>1600</formula>
    </cfRule>
  </conditionalFormatting>
  <conditionalFormatting sqref="F226">
    <cfRule type="top10" priority="465" bottom="1" rank="3"/>
  </conditionalFormatting>
  <conditionalFormatting sqref="F226">
    <cfRule type="cellIs" dxfId="404" priority="464" operator="between">
      <formula>0.1</formula>
      <formula>89</formula>
    </cfRule>
  </conditionalFormatting>
  <conditionalFormatting sqref="F235">
    <cfRule type="top10" priority="463" bottom="1" rank="3"/>
  </conditionalFormatting>
  <conditionalFormatting sqref="F235">
    <cfRule type="cellIs" dxfId="403" priority="462" operator="between">
      <formula>0.1</formula>
      <formula>89</formula>
    </cfRule>
  </conditionalFormatting>
  <conditionalFormatting sqref="F237">
    <cfRule type="top10" priority="461" bottom="1" rank="3"/>
  </conditionalFormatting>
  <conditionalFormatting sqref="F237">
    <cfRule type="cellIs" dxfId="402" priority="460" operator="between">
      <formula>0.1</formula>
      <formula>89</formula>
    </cfRule>
  </conditionalFormatting>
  <conditionalFormatting sqref="F236">
    <cfRule type="top10" priority="459" bottom="1" rank="3"/>
  </conditionalFormatting>
  <conditionalFormatting sqref="F236">
    <cfRule type="cellIs" dxfId="401" priority="458" operator="between">
      <formula>0.1</formula>
      <formula>89</formula>
    </cfRule>
  </conditionalFormatting>
  <conditionalFormatting sqref="D237">
    <cfRule type="cellIs" dxfId="400" priority="457" operator="between">
      <formula>0.1</formula>
      <formula>15</formula>
    </cfRule>
  </conditionalFormatting>
  <conditionalFormatting sqref="H228">
    <cfRule type="cellIs" dxfId="390" priority="447" operator="greaterThan">
      <formula>10000</formula>
    </cfRule>
  </conditionalFormatting>
  <conditionalFormatting sqref="H228">
    <cfRule type="cellIs" dxfId="389" priority="441" operator="greaterThan">
      <formula>10000</formula>
    </cfRule>
    <cfRule type="cellIs" dxfId="388" priority="443" operator="greaterThanOrEqual">
      <formula>1550</formula>
    </cfRule>
    <cfRule type="cellIs" dxfId="387" priority="444" operator="greaterThanOrEqual">
      <formula>1525</formula>
    </cfRule>
    <cfRule type="cellIs" dxfId="386" priority="445" operator="greaterThanOrEqual">
      <formula>1475</formula>
    </cfRule>
    <cfRule type="cellIs" dxfId="385" priority="446" operator="greaterThanOrEqual">
      <formula>1400</formula>
    </cfRule>
  </conditionalFormatting>
  <conditionalFormatting sqref="H228">
    <cfRule type="cellIs" dxfId="384" priority="442" operator="greaterThan">
      <formula>1600</formula>
    </cfRule>
  </conditionalFormatting>
  <conditionalFormatting sqref="E228">
    <cfRule type="cellIs" dxfId="383" priority="440" operator="between">
      <formula>0.1</formula>
      <formula>35</formula>
    </cfRule>
  </conditionalFormatting>
  <conditionalFormatting sqref="B228:D228">
    <cfRule type="cellIs" dxfId="382" priority="439" operator="between">
      <formula>0.1</formula>
      <formula>15</formula>
    </cfRule>
  </conditionalFormatting>
  <conditionalFormatting sqref="I228">
    <cfRule type="cellIs" dxfId="381" priority="438" operator="greaterThan">
      <formula>10000</formula>
    </cfRule>
  </conditionalFormatting>
  <conditionalFormatting sqref="I228">
    <cfRule type="cellIs" dxfId="380" priority="432" operator="greaterThan">
      <formula>10000</formula>
    </cfRule>
    <cfRule type="cellIs" dxfId="379" priority="434" operator="greaterThanOrEqual">
      <formula>1550</formula>
    </cfRule>
    <cfRule type="cellIs" dxfId="378" priority="435" operator="greaterThanOrEqual">
      <formula>1525</formula>
    </cfRule>
    <cfRule type="cellIs" dxfId="377" priority="436" operator="greaterThanOrEqual">
      <formula>1475</formula>
    </cfRule>
    <cfRule type="cellIs" dxfId="376" priority="437" operator="greaterThanOrEqual">
      <formula>1400</formula>
    </cfRule>
  </conditionalFormatting>
  <conditionalFormatting sqref="I228">
    <cfRule type="cellIs" dxfId="375" priority="433" operator="greaterThan">
      <formula>1600</formula>
    </cfRule>
  </conditionalFormatting>
  <conditionalFormatting sqref="J228">
    <cfRule type="cellIs" dxfId="374" priority="422" operator="greaterThan">
      <formula>10000</formula>
    </cfRule>
  </conditionalFormatting>
  <conditionalFormatting sqref="J228">
    <cfRule type="cellIs" dxfId="364" priority="416" operator="greaterThan">
      <formula>10000</formula>
    </cfRule>
    <cfRule type="cellIs" dxfId="363" priority="418" operator="greaterThanOrEqual">
      <formula>1550</formula>
    </cfRule>
    <cfRule type="cellIs" dxfId="362" priority="419" operator="greaterThanOrEqual">
      <formula>1525</formula>
    </cfRule>
    <cfRule type="cellIs" dxfId="361" priority="420" operator="greaterThanOrEqual">
      <formula>1475</formula>
    </cfRule>
    <cfRule type="cellIs" dxfId="360" priority="421" operator="greaterThanOrEqual">
      <formula>1400</formula>
    </cfRule>
  </conditionalFormatting>
  <conditionalFormatting sqref="J228">
    <cfRule type="cellIs" dxfId="359" priority="417" operator="greaterThan">
      <formula>1600</formula>
    </cfRule>
  </conditionalFormatting>
  <conditionalFormatting sqref="H238">
    <cfRule type="cellIs" dxfId="358" priority="412" operator="greaterThan">
      <formula>10000</formula>
    </cfRule>
  </conditionalFormatting>
  <conditionalFormatting sqref="H238">
    <cfRule type="cellIs" dxfId="357" priority="406" operator="greaterThan">
      <formula>10000</formula>
    </cfRule>
    <cfRule type="cellIs" dxfId="356" priority="408" operator="greaterThanOrEqual">
      <formula>1550</formula>
    </cfRule>
    <cfRule type="cellIs" dxfId="355" priority="409" operator="greaterThanOrEqual">
      <formula>1525</formula>
    </cfRule>
    <cfRule type="cellIs" dxfId="354" priority="410" operator="greaterThanOrEqual">
      <formula>1475</formula>
    </cfRule>
    <cfRule type="cellIs" dxfId="353" priority="411" operator="greaterThanOrEqual">
      <formula>1400</formula>
    </cfRule>
  </conditionalFormatting>
  <conditionalFormatting sqref="H238">
    <cfRule type="cellIs" dxfId="352" priority="407" operator="greaterThan">
      <formula>1600</formula>
    </cfRule>
  </conditionalFormatting>
  <conditionalFormatting sqref="E238">
    <cfRule type="cellIs" dxfId="351" priority="405" operator="between">
      <formula>0.1</formula>
      <formula>35</formula>
    </cfRule>
  </conditionalFormatting>
  <conditionalFormatting sqref="B238:D238">
    <cfRule type="cellIs" dxfId="350" priority="403" operator="between">
      <formula>0.1</formula>
      <formula>15</formula>
    </cfRule>
  </conditionalFormatting>
  <conditionalFormatting sqref="I238">
    <cfRule type="cellIs" dxfId="349" priority="402" operator="greaterThan">
      <formula>10000</formula>
    </cfRule>
  </conditionalFormatting>
  <conditionalFormatting sqref="I238">
    <cfRule type="cellIs" dxfId="348" priority="396" operator="greaterThan">
      <formula>10000</formula>
    </cfRule>
    <cfRule type="cellIs" dxfId="347" priority="398" operator="greaterThanOrEqual">
      <formula>1550</formula>
    </cfRule>
    <cfRule type="cellIs" dxfId="346" priority="399" operator="greaterThanOrEqual">
      <formula>1525</formula>
    </cfRule>
    <cfRule type="cellIs" dxfId="345" priority="400" operator="greaterThanOrEqual">
      <formula>1475</formula>
    </cfRule>
    <cfRule type="cellIs" dxfId="344" priority="401" operator="greaterThanOrEqual">
      <formula>1400</formula>
    </cfRule>
  </conditionalFormatting>
  <conditionalFormatting sqref="I238">
    <cfRule type="cellIs" dxfId="343" priority="397" operator="greaterThan">
      <formula>1600</formula>
    </cfRule>
  </conditionalFormatting>
  <conditionalFormatting sqref="J238">
    <cfRule type="cellIs" dxfId="342" priority="395" operator="greaterThan">
      <formula>10000</formula>
    </cfRule>
  </conditionalFormatting>
  <conditionalFormatting sqref="J238">
    <cfRule type="cellIs" dxfId="341" priority="389" operator="greaterThan">
      <formula>10000</formula>
    </cfRule>
    <cfRule type="cellIs" dxfId="340" priority="391" operator="greaterThanOrEqual">
      <formula>1550</formula>
    </cfRule>
    <cfRule type="cellIs" dxfId="339" priority="392" operator="greaterThanOrEqual">
      <formula>1525</formula>
    </cfRule>
    <cfRule type="cellIs" dxfId="338" priority="393" operator="greaterThanOrEqual">
      <formula>1475</formula>
    </cfRule>
    <cfRule type="cellIs" dxfId="337" priority="394" operator="greaterThanOrEqual">
      <formula>1400</formula>
    </cfRule>
  </conditionalFormatting>
  <conditionalFormatting sqref="J238">
    <cfRule type="cellIs" dxfId="336" priority="390" operator="greaterThan">
      <formula>1600</formula>
    </cfRule>
  </conditionalFormatting>
  <conditionalFormatting sqref="K238">
    <cfRule type="cellIs" dxfId="335" priority="385" operator="greaterThan">
      <formula>10000</formula>
    </cfRule>
    <cfRule type="cellIs" dxfId="334" priority="386" operator="greaterThanOrEqual">
      <formula>1500</formula>
    </cfRule>
    <cfRule type="cellIs" dxfId="333" priority="387" operator="greaterThanOrEqual">
      <formula>1450</formula>
    </cfRule>
    <cfRule type="cellIs" dxfId="332" priority="388" operator="greaterThan">
      <formula>1400</formula>
    </cfRule>
  </conditionalFormatting>
  <conditionalFormatting sqref="K238">
    <cfRule type="cellIs" dxfId="331" priority="380" operator="greaterThan">
      <formula>10000</formula>
    </cfRule>
    <cfRule type="cellIs" dxfId="330" priority="381" operator="greaterThanOrEqual">
      <formula>1500</formula>
    </cfRule>
    <cfRule type="cellIs" dxfId="329" priority="382" operator="greaterThanOrEqual">
      <formula>1475</formula>
    </cfRule>
    <cfRule type="cellIs" dxfId="328" priority="383" operator="greaterThanOrEqual">
      <formula>1450</formula>
    </cfRule>
    <cfRule type="cellIs" dxfId="327" priority="384" operator="greaterThanOrEqual">
      <formula>1400</formula>
    </cfRule>
  </conditionalFormatting>
  <conditionalFormatting sqref="K238">
    <cfRule type="cellIs" dxfId="326" priority="376" operator="greaterThan">
      <formula>10000</formula>
    </cfRule>
    <cfRule type="cellIs" dxfId="325" priority="377" operator="greaterThanOrEqual">
      <formula>1500</formula>
    </cfRule>
    <cfRule type="cellIs" dxfId="324" priority="378" operator="greaterThanOrEqual">
      <formula>1450</formula>
    </cfRule>
    <cfRule type="cellIs" dxfId="323" priority="379" operator="greaterThan">
      <formula>1400</formula>
    </cfRule>
  </conditionalFormatting>
  <conditionalFormatting sqref="K238">
    <cfRule type="cellIs" dxfId="322" priority="371" operator="greaterThan">
      <formula>10000</formula>
    </cfRule>
    <cfRule type="cellIs" dxfId="321" priority="372" operator="greaterThanOrEqual">
      <formula>1500</formula>
    </cfRule>
    <cfRule type="cellIs" dxfId="320" priority="373" operator="greaterThanOrEqual">
      <formula>1475</formula>
    </cfRule>
    <cfRule type="cellIs" dxfId="319" priority="374" operator="greaterThanOrEqual">
      <formula>1450</formula>
    </cfRule>
    <cfRule type="cellIs" dxfId="318" priority="375" operator="greaterThanOrEqual">
      <formula>1400</formula>
    </cfRule>
  </conditionalFormatting>
  <conditionalFormatting sqref="K238">
    <cfRule type="cellIs" dxfId="317" priority="367" operator="greaterThan">
      <formula>10000</formula>
    </cfRule>
    <cfRule type="cellIs" dxfId="316" priority="368" operator="greaterThanOrEqual">
      <formula>1500</formula>
    </cfRule>
    <cfRule type="cellIs" dxfId="315" priority="369" operator="greaterThanOrEqual">
      <formula>1450</formula>
    </cfRule>
    <cfRule type="cellIs" dxfId="314" priority="370" operator="greaterThan">
      <formula>1400</formula>
    </cfRule>
  </conditionalFormatting>
  <conditionalFormatting sqref="K238">
    <cfRule type="cellIs" dxfId="313" priority="362" operator="greaterThan">
      <formula>10000</formula>
    </cfRule>
    <cfRule type="cellIs" dxfId="312" priority="363" operator="greaterThanOrEqual">
      <formula>1500</formula>
    </cfRule>
    <cfRule type="cellIs" dxfId="311" priority="364" operator="greaterThanOrEqual">
      <formula>1475</formula>
    </cfRule>
    <cfRule type="cellIs" dxfId="310" priority="365" operator="greaterThanOrEqual">
      <formula>1450</formula>
    </cfRule>
    <cfRule type="cellIs" dxfId="309" priority="366" operator="greaterThanOrEqual">
      <formula>1400</formula>
    </cfRule>
  </conditionalFormatting>
  <conditionalFormatting sqref="H229">
    <cfRule type="cellIs" dxfId="299" priority="352" operator="greaterThan">
      <formula>10000</formula>
    </cfRule>
  </conditionalFormatting>
  <conditionalFormatting sqref="H229">
    <cfRule type="cellIs" dxfId="298" priority="346" operator="greaterThan">
      <formula>10000</formula>
    </cfRule>
    <cfRule type="cellIs" dxfId="297" priority="348" operator="greaterThanOrEqual">
      <formula>1550</formula>
    </cfRule>
    <cfRule type="cellIs" dxfId="296" priority="349" operator="greaterThanOrEqual">
      <formula>1525</formula>
    </cfRule>
    <cfRule type="cellIs" dxfId="295" priority="350" operator="greaterThanOrEqual">
      <formula>1475</formula>
    </cfRule>
    <cfRule type="cellIs" dxfId="294" priority="351" operator="greaterThanOrEqual">
      <formula>1400</formula>
    </cfRule>
  </conditionalFormatting>
  <conditionalFormatting sqref="H229">
    <cfRule type="cellIs" dxfId="293" priority="347" operator="greaterThan">
      <formula>1600</formula>
    </cfRule>
  </conditionalFormatting>
  <conditionalFormatting sqref="E229">
    <cfRule type="cellIs" dxfId="292" priority="345" operator="between">
      <formula>0.1</formula>
      <formula>35</formula>
    </cfRule>
  </conditionalFormatting>
  <conditionalFormatting sqref="B229:D229">
    <cfRule type="cellIs" dxfId="291" priority="344" operator="between">
      <formula>0.1</formula>
      <formula>15</formula>
    </cfRule>
  </conditionalFormatting>
  <conditionalFormatting sqref="I229">
    <cfRule type="cellIs" dxfId="290" priority="343" operator="greaterThan">
      <formula>10000</formula>
    </cfRule>
  </conditionalFormatting>
  <conditionalFormatting sqref="I229">
    <cfRule type="cellIs" dxfId="289" priority="337" operator="greaterThan">
      <formula>10000</formula>
    </cfRule>
    <cfRule type="cellIs" dxfId="288" priority="339" operator="greaterThanOrEqual">
      <formula>1550</formula>
    </cfRule>
    <cfRule type="cellIs" dxfId="287" priority="340" operator="greaterThanOrEqual">
      <formula>1525</formula>
    </cfRule>
    <cfRule type="cellIs" dxfId="286" priority="341" operator="greaterThanOrEqual">
      <formula>1475</formula>
    </cfRule>
    <cfRule type="cellIs" dxfId="285" priority="342" operator="greaterThanOrEqual">
      <formula>1400</formula>
    </cfRule>
  </conditionalFormatting>
  <conditionalFormatting sqref="I229">
    <cfRule type="cellIs" dxfId="284" priority="338" operator="greaterThan">
      <formula>1600</formula>
    </cfRule>
  </conditionalFormatting>
  <conditionalFormatting sqref="J229">
    <cfRule type="cellIs" dxfId="283" priority="327" operator="greaterThan">
      <formula>10000</formula>
    </cfRule>
  </conditionalFormatting>
  <conditionalFormatting sqref="J229">
    <cfRule type="cellIs" dxfId="273" priority="321" operator="greaterThan">
      <formula>10000</formula>
    </cfRule>
    <cfRule type="cellIs" dxfId="272" priority="323" operator="greaterThanOrEqual">
      <formula>1550</formula>
    </cfRule>
    <cfRule type="cellIs" dxfId="271" priority="324" operator="greaterThanOrEqual">
      <formula>1525</formula>
    </cfRule>
    <cfRule type="cellIs" dxfId="270" priority="325" operator="greaterThanOrEqual">
      <formula>1475</formula>
    </cfRule>
    <cfRule type="cellIs" dxfId="269" priority="326" operator="greaterThanOrEqual">
      <formula>1400</formula>
    </cfRule>
  </conditionalFormatting>
  <conditionalFormatting sqref="J229">
    <cfRule type="cellIs" dxfId="268" priority="322" operator="greaterThan">
      <formula>1600</formula>
    </cfRule>
  </conditionalFormatting>
  <conditionalFormatting sqref="K232">
    <cfRule type="cellIs" dxfId="267" priority="315" operator="greaterThan">
      <formula>10000</formula>
    </cfRule>
    <cfRule type="cellIs" dxfId="266" priority="316" operator="greaterThanOrEqual">
      <formula>1500</formula>
    </cfRule>
    <cfRule type="cellIs" dxfId="265" priority="317" operator="greaterThanOrEqual">
      <formula>1450</formula>
    </cfRule>
    <cfRule type="cellIs" dxfId="264" priority="318" operator="greaterThan">
      <formula>1400</formula>
    </cfRule>
  </conditionalFormatting>
  <conditionalFormatting sqref="K232">
    <cfRule type="cellIs" dxfId="263" priority="310" operator="greaterThan">
      <formula>10000</formula>
    </cfRule>
    <cfRule type="cellIs" dxfId="262" priority="311" operator="greaterThanOrEqual">
      <formula>1500</formula>
    </cfRule>
    <cfRule type="cellIs" dxfId="261" priority="312" operator="greaterThanOrEqual">
      <formula>1475</formula>
    </cfRule>
    <cfRule type="cellIs" dxfId="260" priority="313" operator="greaterThanOrEqual">
      <formula>1450</formula>
    </cfRule>
    <cfRule type="cellIs" dxfId="259" priority="314" operator="greaterThanOrEqual">
      <formula>1400</formula>
    </cfRule>
  </conditionalFormatting>
  <conditionalFormatting sqref="H232">
    <cfRule type="cellIs" dxfId="258" priority="309" operator="greaterThan">
      <formula>10000</formula>
    </cfRule>
  </conditionalFormatting>
  <conditionalFormatting sqref="H232">
    <cfRule type="cellIs" dxfId="257" priority="303" operator="greaterThan">
      <formula>10000</formula>
    </cfRule>
    <cfRule type="cellIs" dxfId="256" priority="305" operator="greaterThanOrEqual">
      <formula>1550</formula>
    </cfRule>
    <cfRule type="cellIs" dxfId="255" priority="306" operator="greaterThanOrEqual">
      <formula>1525</formula>
    </cfRule>
    <cfRule type="cellIs" dxfId="254" priority="307" operator="greaterThanOrEqual">
      <formula>1475</formula>
    </cfRule>
    <cfRule type="cellIs" dxfId="253" priority="308" operator="greaterThanOrEqual">
      <formula>1400</formula>
    </cfRule>
  </conditionalFormatting>
  <conditionalFormatting sqref="H232">
    <cfRule type="cellIs" dxfId="252" priority="304" operator="greaterThan">
      <formula>1600</formula>
    </cfRule>
  </conditionalFormatting>
  <conditionalFormatting sqref="E232">
    <cfRule type="cellIs" dxfId="251" priority="302" operator="between">
      <formula>0.1</formula>
      <formula>35</formula>
    </cfRule>
  </conditionalFormatting>
  <conditionalFormatting sqref="B232:D232">
    <cfRule type="cellIs" dxfId="250" priority="301" operator="between">
      <formula>0.1</formula>
      <formula>15</formula>
    </cfRule>
  </conditionalFormatting>
  <conditionalFormatting sqref="I232">
    <cfRule type="cellIs" dxfId="249" priority="300" operator="greaterThan">
      <formula>10000</formula>
    </cfRule>
  </conditionalFormatting>
  <conditionalFormatting sqref="I232">
    <cfRule type="cellIs" dxfId="248" priority="294" operator="greaterThan">
      <formula>10000</formula>
    </cfRule>
    <cfRule type="cellIs" dxfId="247" priority="296" operator="greaterThanOrEqual">
      <formula>1550</formula>
    </cfRule>
    <cfRule type="cellIs" dxfId="246" priority="297" operator="greaterThanOrEqual">
      <formula>1525</formula>
    </cfRule>
    <cfRule type="cellIs" dxfId="245" priority="298" operator="greaterThanOrEqual">
      <formula>1475</formula>
    </cfRule>
    <cfRule type="cellIs" dxfId="244" priority="299" operator="greaterThanOrEqual">
      <formula>1400</formula>
    </cfRule>
  </conditionalFormatting>
  <conditionalFormatting sqref="I232">
    <cfRule type="cellIs" dxfId="243" priority="295" operator="greaterThan">
      <formula>1600</formula>
    </cfRule>
  </conditionalFormatting>
  <conditionalFormatting sqref="J232">
    <cfRule type="cellIs" dxfId="242" priority="284" operator="greaterThan">
      <formula>10000</formula>
    </cfRule>
  </conditionalFormatting>
  <conditionalFormatting sqref="K232">
    <cfRule type="cellIs" dxfId="241" priority="290" operator="greaterThan">
      <formula>10000</formula>
    </cfRule>
    <cfRule type="cellIs" dxfId="240" priority="291" operator="greaterThanOrEqual">
      <formula>1500</formula>
    </cfRule>
    <cfRule type="cellIs" dxfId="239" priority="292" operator="greaterThanOrEqual">
      <formula>1450</formula>
    </cfRule>
    <cfRule type="cellIs" dxfId="238" priority="293" operator="greaterThan">
      <formula>1400</formula>
    </cfRule>
  </conditionalFormatting>
  <conditionalFormatting sqref="K232">
    <cfRule type="cellIs" dxfId="237" priority="285" operator="greaterThan">
      <formula>10000</formula>
    </cfRule>
    <cfRule type="cellIs" dxfId="236" priority="286" operator="greaterThanOrEqual">
      <formula>1500</formula>
    </cfRule>
    <cfRule type="cellIs" dxfId="235" priority="287" operator="greaterThanOrEqual">
      <formula>1475</formula>
    </cfRule>
    <cfRule type="cellIs" dxfId="234" priority="288" operator="greaterThanOrEqual">
      <formula>1450</formula>
    </cfRule>
    <cfRule type="cellIs" dxfId="233" priority="289" operator="greaterThanOrEqual">
      <formula>1400</formula>
    </cfRule>
  </conditionalFormatting>
  <conditionalFormatting sqref="J232">
    <cfRule type="cellIs" dxfId="232" priority="278" operator="greaterThan">
      <formula>10000</formula>
    </cfRule>
    <cfRule type="cellIs" dxfId="231" priority="280" operator="greaterThanOrEqual">
      <formula>1550</formula>
    </cfRule>
    <cfRule type="cellIs" dxfId="230" priority="281" operator="greaterThanOrEqual">
      <formula>1525</formula>
    </cfRule>
    <cfRule type="cellIs" dxfId="229" priority="282" operator="greaterThanOrEqual">
      <formula>1475</formula>
    </cfRule>
    <cfRule type="cellIs" dxfId="228" priority="283" operator="greaterThanOrEqual">
      <formula>1400</formula>
    </cfRule>
  </conditionalFormatting>
  <conditionalFormatting sqref="J232">
    <cfRule type="cellIs" dxfId="227" priority="279" operator="greaterThan">
      <formula>1600</formula>
    </cfRule>
  </conditionalFormatting>
  <conditionalFormatting sqref="H231">
    <cfRule type="cellIs" dxfId="226" priority="266" operator="greaterThan">
      <formula>10000</formula>
    </cfRule>
  </conditionalFormatting>
  <conditionalFormatting sqref="H231">
    <cfRule type="cellIs" dxfId="225" priority="260" operator="greaterThan">
      <formula>10000</formula>
    </cfRule>
    <cfRule type="cellIs" dxfId="224" priority="262" operator="greaterThanOrEqual">
      <formula>1550</formula>
    </cfRule>
    <cfRule type="cellIs" dxfId="223" priority="263" operator="greaterThanOrEqual">
      <formula>1525</formula>
    </cfRule>
    <cfRule type="cellIs" dxfId="222" priority="264" operator="greaterThanOrEqual">
      <formula>1475</formula>
    </cfRule>
    <cfRule type="cellIs" dxfId="221" priority="265" operator="greaterThanOrEqual">
      <formula>1400</formula>
    </cfRule>
  </conditionalFormatting>
  <conditionalFormatting sqref="H231">
    <cfRule type="cellIs" dxfId="220" priority="261" operator="greaterThan">
      <formula>1600</formula>
    </cfRule>
  </conditionalFormatting>
  <conditionalFormatting sqref="E231">
    <cfRule type="cellIs" dxfId="219" priority="259" operator="between">
      <formula>0.1</formula>
      <formula>35</formula>
    </cfRule>
  </conditionalFormatting>
  <conditionalFormatting sqref="B231:D231">
    <cfRule type="cellIs" dxfId="218" priority="258" operator="between">
      <formula>0.1</formula>
      <formula>15</formula>
    </cfRule>
  </conditionalFormatting>
  <conditionalFormatting sqref="F238">
    <cfRule type="top10" priority="232" bottom="1" rank="3"/>
  </conditionalFormatting>
  <conditionalFormatting sqref="F238">
    <cfRule type="cellIs" dxfId="217" priority="231" operator="between">
      <formula>0.1</formula>
      <formula>89</formula>
    </cfRule>
  </conditionalFormatting>
  <conditionalFormatting sqref="F240">
    <cfRule type="top10" priority="230" bottom="1" rank="3"/>
  </conditionalFormatting>
  <conditionalFormatting sqref="F240">
    <cfRule type="cellIs" dxfId="216" priority="229" operator="between">
      <formula>0.1</formula>
      <formula>89</formula>
    </cfRule>
  </conditionalFormatting>
  <conditionalFormatting sqref="F229">
    <cfRule type="top10" priority="228" bottom="1" rank="3"/>
  </conditionalFormatting>
  <conditionalFormatting sqref="F229">
    <cfRule type="cellIs" dxfId="215" priority="227" operator="between">
      <formula>0.1</formula>
      <formula>89</formula>
    </cfRule>
  </conditionalFormatting>
  <conditionalFormatting sqref="F230:F232">
    <cfRule type="top10" priority="226" bottom="1" rank="3"/>
  </conditionalFormatting>
  <conditionalFormatting sqref="F230:F232">
    <cfRule type="cellIs" dxfId="214" priority="225" operator="between">
      <formula>0.1</formula>
      <formula>89</formula>
    </cfRule>
  </conditionalFormatting>
  <conditionalFormatting sqref="F228">
    <cfRule type="top10" priority="224" bottom="1" rank="3"/>
  </conditionalFormatting>
  <conditionalFormatting sqref="F228">
    <cfRule type="cellIs" dxfId="213" priority="223" operator="between">
      <formula>0.1</formula>
      <formula>89</formula>
    </cfRule>
  </conditionalFormatting>
  <conditionalFormatting sqref="I240">
    <cfRule type="cellIs" dxfId="212" priority="215" operator="greaterThan">
      <formula>10000</formula>
    </cfRule>
  </conditionalFormatting>
  <conditionalFormatting sqref="I240">
    <cfRule type="cellIs" dxfId="211" priority="209" operator="greaterThan">
      <formula>10000</formula>
    </cfRule>
    <cfRule type="cellIs" dxfId="210" priority="211" operator="greaterThanOrEqual">
      <formula>1550</formula>
    </cfRule>
    <cfRule type="cellIs" dxfId="209" priority="212" operator="greaterThanOrEqual">
      <formula>1525</formula>
    </cfRule>
    <cfRule type="cellIs" dxfId="208" priority="213" operator="greaterThanOrEqual">
      <formula>1475</formula>
    </cfRule>
    <cfRule type="cellIs" dxfId="207" priority="214" operator="greaterThanOrEqual">
      <formula>1400</formula>
    </cfRule>
  </conditionalFormatting>
  <conditionalFormatting sqref="I240">
    <cfRule type="cellIs" dxfId="206" priority="210" operator="greaterThan">
      <formula>1600</formula>
    </cfRule>
  </conditionalFormatting>
  <conditionalFormatting sqref="J240">
    <cfRule type="cellIs" dxfId="205" priority="208" operator="greaterThan">
      <formula>10000</formula>
    </cfRule>
  </conditionalFormatting>
  <conditionalFormatting sqref="J240">
    <cfRule type="cellIs" dxfId="204" priority="202" operator="greaterThan">
      <formula>10000</formula>
    </cfRule>
    <cfRule type="cellIs" dxfId="203" priority="204" operator="greaterThanOrEqual">
      <formula>1550</formula>
    </cfRule>
    <cfRule type="cellIs" dxfId="202" priority="205" operator="greaterThanOrEqual">
      <formula>1525</formula>
    </cfRule>
    <cfRule type="cellIs" dxfId="201" priority="206" operator="greaterThanOrEqual">
      <formula>1475</formula>
    </cfRule>
    <cfRule type="cellIs" dxfId="200" priority="207" operator="greaterThanOrEqual">
      <formula>1400</formula>
    </cfRule>
  </conditionalFormatting>
  <conditionalFormatting sqref="J240">
    <cfRule type="cellIs" dxfId="199" priority="203" operator="greaterThan">
      <formula>1600</formula>
    </cfRule>
  </conditionalFormatting>
  <conditionalFormatting sqref="K240">
    <cfRule type="cellIs" dxfId="198" priority="198" operator="greaterThan">
      <formula>10000</formula>
    </cfRule>
    <cfRule type="cellIs" dxfId="197" priority="199" operator="greaterThanOrEqual">
      <formula>1500</formula>
    </cfRule>
    <cfRule type="cellIs" dxfId="196" priority="200" operator="greaterThanOrEqual">
      <formula>1450</formula>
    </cfRule>
    <cfRule type="cellIs" dxfId="195" priority="201" operator="greaterThan">
      <formula>1400</formula>
    </cfRule>
  </conditionalFormatting>
  <conditionalFormatting sqref="K240">
    <cfRule type="cellIs" dxfId="194" priority="193" operator="greaterThan">
      <formula>10000</formula>
    </cfRule>
    <cfRule type="cellIs" dxfId="193" priority="194" operator="greaterThanOrEqual">
      <formula>1500</formula>
    </cfRule>
    <cfRule type="cellIs" dxfId="192" priority="195" operator="greaterThanOrEqual">
      <formula>1475</formula>
    </cfRule>
    <cfRule type="cellIs" dxfId="191" priority="196" operator="greaterThanOrEqual">
      <formula>1450</formula>
    </cfRule>
    <cfRule type="cellIs" dxfId="190" priority="197" operator="greaterThanOrEqual">
      <formula>1400</formula>
    </cfRule>
  </conditionalFormatting>
  <conditionalFormatting sqref="K240">
    <cfRule type="cellIs" dxfId="189" priority="189" operator="greaterThan">
      <formula>10000</formula>
    </cfRule>
    <cfRule type="cellIs" dxfId="188" priority="190" operator="greaterThanOrEqual">
      <formula>1500</formula>
    </cfRule>
    <cfRule type="cellIs" dxfId="187" priority="191" operator="greaterThanOrEqual">
      <formula>1450</formula>
    </cfRule>
    <cfRule type="cellIs" dxfId="186" priority="192" operator="greaterThan">
      <formula>1400</formula>
    </cfRule>
  </conditionalFormatting>
  <conditionalFormatting sqref="K240">
    <cfRule type="cellIs" dxfId="185" priority="184" operator="greaterThan">
      <formula>10000</formula>
    </cfRule>
    <cfRule type="cellIs" dxfId="184" priority="185" operator="greaterThanOrEqual">
      <formula>1500</formula>
    </cfRule>
    <cfRule type="cellIs" dxfId="183" priority="186" operator="greaterThanOrEqual">
      <formula>1475</formula>
    </cfRule>
    <cfRule type="cellIs" dxfId="182" priority="187" operator="greaterThanOrEqual">
      <formula>1450</formula>
    </cfRule>
    <cfRule type="cellIs" dxfId="181" priority="188" operator="greaterThanOrEqual">
      <formula>1400</formula>
    </cfRule>
  </conditionalFormatting>
  <conditionalFormatting sqref="K240">
    <cfRule type="cellIs" dxfId="180" priority="180" operator="greaterThan">
      <formula>10000</formula>
    </cfRule>
    <cfRule type="cellIs" dxfId="179" priority="181" operator="greaterThanOrEqual">
      <formula>1500</formula>
    </cfRule>
    <cfRule type="cellIs" dxfId="178" priority="182" operator="greaterThanOrEqual">
      <formula>1450</formula>
    </cfRule>
    <cfRule type="cellIs" dxfId="177" priority="183" operator="greaterThan">
      <formula>1400</formula>
    </cfRule>
  </conditionalFormatting>
  <conditionalFormatting sqref="K240">
    <cfRule type="cellIs" dxfId="176" priority="175" operator="greaterThan">
      <formula>10000</formula>
    </cfRule>
    <cfRule type="cellIs" dxfId="175" priority="176" operator="greaterThanOrEqual">
      <formula>1500</formula>
    </cfRule>
    <cfRule type="cellIs" dxfId="174" priority="177" operator="greaterThanOrEqual">
      <formula>1475</formula>
    </cfRule>
    <cfRule type="cellIs" dxfId="173" priority="178" operator="greaterThanOrEqual">
      <formula>1450</formula>
    </cfRule>
    <cfRule type="cellIs" dxfId="172" priority="179" operator="greaterThanOrEqual">
      <formula>1400</formula>
    </cfRule>
  </conditionalFormatting>
  <conditionalFormatting sqref="I231">
    <cfRule type="cellIs" dxfId="171" priority="174" operator="greaterThan">
      <formula>10000</formula>
    </cfRule>
  </conditionalFormatting>
  <conditionalFormatting sqref="I231">
    <cfRule type="cellIs" dxfId="170" priority="168" operator="greaterThan">
      <formula>10000</formula>
    </cfRule>
    <cfRule type="cellIs" dxfId="169" priority="170" operator="greaterThanOrEqual">
      <formula>1550</formula>
    </cfRule>
    <cfRule type="cellIs" dxfId="168" priority="171" operator="greaterThanOrEqual">
      <formula>1525</formula>
    </cfRule>
    <cfRule type="cellIs" dxfId="167" priority="172" operator="greaterThanOrEqual">
      <formula>1475</formula>
    </cfRule>
    <cfRule type="cellIs" dxfId="166" priority="173" operator="greaterThanOrEqual">
      <formula>1400</formula>
    </cfRule>
  </conditionalFormatting>
  <conditionalFormatting sqref="I231">
    <cfRule type="cellIs" dxfId="165" priority="169" operator="greaterThan">
      <formula>1600</formula>
    </cfRule>
  </conditionalFormatting>
  <conditionalFormatting sqref="J231">
    <cfRule type="cellIs" dxfId="164" priority="167" operator="greaterThan">
      <formula>10000</formula>
    </cfRule>
  </conditionalFormatting>
  <conditionalFormatting sqref="J231">
    <cfRule type="cellIs" dxfId="163" priority="161" operator="greaterThan">
      <formula>10000</formula>
    </cfRule>
    <cfRule type="cellIs" dxfId="162" priority="163" operator="greaterThanOrEqual">
      <formula>1550</formula>
    </cfRule>
    <cfRule type="cellIs" dxfId="161" priority="164" operator="greaterThanOrEqual">
      <formula>1525</formula>
    </cfRule>
    <cfRule type="cellIs" dxfId="160" priority="165" operator="greaterThanOrEqual">
      <formula>1475</formula>
    </cfRule>
    <cfRule type="cellIs" dxfId="159" priority="166" operator="greaterThanOrEqual">
      <formula>1400</formula>
    </cfRule>
  </conditionalFormatting>
  <conditionalFormatting sqref="J231">
    <cfRule type="cellIs" dxfId="158" priority="162" operator="greaterThan">
      <formula>1600</formula>
    </cfRule>
  </conditionalFormatting>
  <conditionalFormatting sqref="K231">
    <cfRule type="cellIs" dxfId="157" priority="157" operator="greaterThan">
      <formula>10000</formula>
    </cfRule>
    <cfRule type="cellIs" dxfId="156" priority="158" operator="greaterThanOrEqual">
      <formula>1500</formula>
    </cfRule>
    <cfRule type="cellIs" dxfId="155" priority="159" operator="greaterThanOrEqual">
      <formula>1450</formula>
    </cfRule>
    <cfRule type="cellIs" dxfId="154" priority="160" operator="greaterThan">
      <formula>1400</formula>
    </cfRule>
  </conditionalFormatting>
  <conditionalFormatting sqref="K231">
    <cfRule type="cellIs" dxfId="153" priority="152" operator="greaterThan">
      <formula>10000</formula>
    </cfRule>
    <cfRule type="cellIs" dxfId="152" priority="153" operator="greaterThanOrEqual">
      <formula>1500</formula>
    </cfRule>
    <cfRule type="cellIs" dxfId="151" priority="154" operator="greaterThanOrEqual">
      <formula>1475</formula>
    </cfRule>
    <cfRule type="cellIs" dxfId="150" priority="155" operator="greaterThanOrEqual">
      <formula>1450</formula>
    </cfRule>
    <cfRule type="cellIs" dxfId="149" priority="156" operator="greaterThanOrEqual">
      <formula>1400</formula>
    </cfRule>
  </conditionalFormatting>
  <conditionalFormatting sqref="K231">
    <cfRule type="cellIs" dxfId="148" priority="148" operator="greaterThan">
      <formula>10000</formula>
    </cfRule>
    <cfRule type="cellIs" dxfId="147" priority="149" operator="greaterThanOrEqual">
      <formula>1500</formula>
    </cfRule>
    <cfRule type="cellIs" dxfId="146" priority="150" operator="greaterThanOrEqual">
      <formula>1450</formula>
    </cfRule>
    <cfRule type="cellIs" dxfId="145" priority="151" operator="greaterThan">
      <formula>1400</formula>
    </cfRule>
  </conditionalFormatting>
  <conditionalFormatting sqref="K231">
    <cfRule type="cellIs" dxfId="144" priority="143" operator="greaterThan">
      <formula>10000</formula>
    </cfRule>
    <cfRule type="cellIs" dxfId="143" priority="144" operator="greaterThanOrEqual">
      <formula>1500</formula>
    </cfRule>
    <cfRule type="cellIs" dxfId="142" priority="145" operator="greaterThanOrEqual">
      <formula>1475</formula>
    </cfRule>
    <cfRule type="cellIs" dxfId="141" priority="146" operator="greaterThanOrEqual">
      <formula>1450</formula>
    </cfRule>
    <cfRule type="cellIs" dxfId="140" priority="147" operator="greaterThanOrEqual">
      <formula>1400</formula>
    </cfRule>
  </conditionalFormatting>
  <conditionalFormatting sqref="K231">
    <cfRule type="cellIs" dxfId="139" priority="139" operator="greaterThan">
      <formula>10000</formula>
    </cfRule>
    <cfRule type="cellIs" dxfId="138" priority="140" operator="greaterThanOrEqual">
      <formula>1500</formula>
    </cfRule>
    <cfRule type="cellIs" dxfId="137" priority="141" operator="greaterThanOrEqual">
      <formula>1450</formula>
    </cfRule>
    <cfRule type="cellIs" dxfId="136" priority="142" operator="greaterThan">
      <formula>1400</formula>
    </cfRule>
  </conditionalFormatting>
  <conditionalFormatting sqref="K231">
    <cfRule type="cellIs" dxfId="135" priority="134" operator="greaterThan">
      <formula>10000</formula>
    </cfRule>
    <cfRule type="cellIs" dxfId="134" priority="135" operator="greaterThanOrEqual">
      <formula>1500</formula>
    </cfRule>
    <cfRule type="cellIs" dxfId="133" priority="136" operator="greaterThanOrEqual">
      <formula>1475</formula>
    </cfRule>
    <cfRule type="cellIs" dxfId="132" priority="137" operator="greaterThanOrEqual">
      <formula>1450</formula>
    </cfRule>
    <cfRule type="cellIs" dxfId="131" priority="138" operator="greaterThanOrEqual">
      <formula>1400</formula>
    </cfRule>
  </conditionalFormatting>
  <conditionalFormatting sqref="H227">
    <cfRule type="cellIs" dxfId="121" priority="124" operator="greaterThan">
      <formula>10000</formula>
    </cfRule>
  </conditionalFormatting>
  <conditionalFormatting sqref="H227">
    <cfRule type="cellIs" dxfId="120" priority="118" operator="greaterThan">
      <formula>10000</formula>
    </cfRule>
    <cfRule type="cellIs" dxfId="119" priority="120" operator="greaterThanOrEqual">
      <formula>1550</formula>
    </cfRule>
    <cfRule type="cellIs" dxfId="118" priority="121" operator="greaterThanOrEqual">
      <formula>1525</formula>
    </cfRule>
    <cfRule type="cellIs" dxfId="117" priority="122" operator="greaterThanOrEqual">
      <formula>1475</formula>
    </cfRule>
    <cfRule type="cellIs" dxfId="116" priority="123" operator="greaterThanOrEqual">
      <formula>1400</formula>
    </cfRule>
  </conditionalFormatting>
  <conditionalFormatting sqref="H227">
    <cfRule type="cellIs" dxfId="115" priority="119" operator="greaterThan">
      <formula>1600</formula>
    </cfRule>
  </conditionalFormatting>
  <conditionalFormatting sqref="E227">
    <cfRule type="cellIs" dxfId="114" priority="117" operator="between">
      <formula>0.1</formula>
      <formula>35</formula>
    </cfRule>
  </conditionalFormatting>
  <conditionalFormatting sqref="B227:D227">
    <cfRule type="cellIs" dxfId="113" priority="116" operator="between">
      <formula>0.1</formula>
      <formula>15</formula>
    </cfRule>
  </conditionalFormatting>
  <conditionalFormatting sqref="I227">
    <cfRule type="cellIs" dxfId="112" priority="115" operator="greaterThan">
      <formula>10000</formula>
    </cfRule>
  </conditionalFormatting>
  <conditionalFormatting sqref="I227">
    <cfRule type="cellIs" dxfId="111" priority="109" operator="greaterThan">
      <formula>10000</formula>
    </cfRule>
    <cfRule type="cellIs" dxfId="110" priority="111" operator="greaterThanOrEqual">
      <formula>1550</formula>
    </cfRule>
    <cfRule type="cellIs" dxfId="109" priority="112" operator="greaterThanOrEqual">
      <formula>1525</formula>
    </cfRule>
    <cfRule type="cellIs" dxfId="108" priority="113" operator="greaterThanOrEqual">
      <formula>1475</formula>
    </cfRule>
    <cfRule type="cellIs" dxfId="107" priority="114" operator="greaterThanOrEqual">
      <formula>1400</formula>
    </cfRule>
  </conditionalFormatting>
  <conditionalFormatting sqref="I227">
    <cfRule type="cellIs" dxfId="106" priority="110" operator="greaterThan">
      <formula>1600</formula>
    </cfRule>
  </conditionalFormatting>
  <conditionalFormatting sqref="J227">
    <cfRule type="cellIs" dxfId="105" priority="99" operator="greaterThan">
      <formula>10000</formula>
    </cfRule>
  </conditionalFormatting>
  <conditionalFormatting sqref="J227">
    <cfRule type="cellIs" dxfId="95" priority="93" operator="greaterThan">
      <formula>10000</formula>
    </cfRule>
    <cfRule type="cellIs" dxfId="94" priority="95" operator="greaterThanOrEqual">
      <formula>1550</formula>
    </cfRule>
    <cfRule type="cellIs" dxfId="93" priority="96" operator="greaterThanOrEqual">
      <formula>1525</formula>
    </cfRule>
    <cfRule type="cellIs" dxfId="92" priority="97" operator="greaterThanOrEqual">
      <formula>1475</formula>
    </cfRule>
    <cfRule type="cellIs" dxfId="91" priority="98" operator="greaterThanOrEqual">
      <formula>1400</formula>
    </cfRule>
  </conditionalFormatting>
  <conditionalFormatting sqref="J227">
    <cfRule type="cellIs" dxfId="90" priority="94" operator="greaterThan">
      <formula>1600</formula>
    </cfRule>
  </conditionalFormatting>
  <conditionalFormatting sqref="F227">
    <cfRule type="top10" priority="92" bottom="1" rank="3"/>
  </conditionalFormatting>
  <conditionalFormatting sqref="F227">
    <cfRule type="cellIs" dxfId="89" priority="91" operator="between">
      <formula>0.1</formula>
      <formula>89</formula>
    </cfRule>
  </conditionalFormatting>
  <conditionalFormatting sqref="H241">
    <cfRule type="cellIs" dxfId="79" priority="80" operator="greaterThan">
      <formula>10000</formula>
    </cfRule>
  </conditionalFormatting>
  <conditionalFormatting sqref="H241">
    <cfRule type="cellIs" dxfId="78" priority="74" operator="greaterThan">
      <formula>10000</formula>
    </cfRule>
    <cfRule type="cellIs" dxfId="77" priority="76" operator="greaterThanOrEqual">
      <formula>1550</formula>
    </cfRule>
    <cfRule type="cellIs" dxfId="76" priority="77" operator="greaterThanOrEqual">
      <formula>1525</formula>
    </cfRule>
    <cfRule type="cellIs" dxfId="75" priority="78" operator="greaterThanOrEqual">
      <formula>1475</formula>
    </cfRule>
    <cfRule type="cellIs" dxfId="74" priority="79" operator="greaterThanOrEqual">
      <formula>1400</formula>
    </cfRule>
  </conditionalFormatting>
  <conditionalFormatting sqref="H241">
    <cfRule type="cellIs" dxfId="73" priority="75" operator="greaterThan">
      <formula>1600</formula>
    </cfRule>
  </conditionalFormatting>
  <conditionalFormatting sqref="E241">
    <cfRule type="cellIs" dxfId="72" priority="73" operator="between">
      <formula>0.1</formula>
      <formula>35</formula>
    </cfRule>
  </conditionalFormatting>
  <conditionalFormatting sqref="B241:D241">
    <cfRule type="cellIs" dxfId="70" priority="71" operator="between">
      <formula>0.1</formula>
      <formula>15</formula>
    </cfRule>
  </conditionalFormatting>
  <conditionalFormatting sqref="F241">
    <cfRule type="top10" priority="70" bottom="1" rank="3"/>
  </conditionalFormatting>
  <conditionalFormatting sqref="F241">
    <cfRule type="cellIs" dxfId="68" priority="69" operator="between">
      <formula>0.1</formula>
      <formula>89</formula>
    </cfRule>
  </conditionalFormatting>
  <conditionalFormatting sqref="K241:K244">
    <cfRule type="cellIs" dxfId="67" priority="65" operator="greaterThan">
      <formula>10000</formula>
    </cfRule>
    <cfRule type="cellIs" dxfId="66" priority="66" operator="greaterThanOrEqual">
      <formula>1500</formula>
    </cfRule>
    <cfRule type="cellIs" dxfId="65" priority="67" operator="greaterThanOrEqual">
      <formula>1450</formula>
    </cfRule>
    <cfRule type="cellIs" dxfId="64" priority="68" operator="greaterThan">
      <formula>1400</formula>
    </cfRule>
  </conditionalFormatting>
  <conditionalFormatting sqref="K241:K244">
    <cfRule type="cellIs" dxfId="63" priority="60" operator="greaterThan">
      <formula>10000</formula>
    </cfRule>
    <cfRule type="cellIs" dxfId="62" priority="61" operator="greaterThanOrEqual">
      <formula>1500</formula>
    </cfRule>
    <cfRule type="cellIs" dxfId="61" priority="62" operator="greaterThanOrEqual">
      <formula>1475</formula>
    </cfRule>
    <cfRule type="cellIs" dxfId="60" priority="63" operator="greaterThanOrEqual">
      <formula>1450</formula>
    </cfRule>
    <cfRule type="cellIs" dxfId="59" priority="64" operator="greaterThanOrEqual">
      <formula>1400</formula>
    </cfRule>
  </conditionalFormatting>
  <conditionalFormatting sqref="K241:K244">
    <cfRule type="cellIs" dxfId="58" priority="56" operator="greaterThan">
      <formula>10000</formula>
    </cfRule>
    <cfRule type="cellIs" dxfId="57" priority="57" operator="greaterThanOrEqual">
      <formula>1500</formula>
    </cfRule>
    <cfRule type="cellIs" dxfId="56" priority="58" operator="greaterThanOrEqual">
      <formula>1450</formula>
    </cfRule>
    <cfRule type="cellIs" dxfId="55" priority="59" operator="greaterThan">
      <formula>1400</formula>
    </cfRule>
  </conditionalFormatting>
  <conditionalFormatting sqref="K241:K244">
    <cfRule type="cellIs" dxfId="54" priority="51" operator="greaterThan">
      <formula>10000</formula>
    </cfRule>
    <cfRule type="cellIs" dxfId="53" priority="52" operator="greaterThanOrEqual">
      <formula>1500</formula>
    </cfRule>
    <cfRule type="cellIs" dxfId="52" priority="53" operator="greaterThanOrEqual">
      <formula>1475</formula>
    </cfRule>
    <cfRule type="cellIs" dxfId="51" priority="54" operator="greaterThanOrEqual">
      <formula>1450</formula>
    </cfRule>
    <cfRule type="cellIs" dxfId="50" priority="55" operator="greaterThanOrEqual">
      <formula>1400</formula>
    </cfRule>
  </conditionalFormatting>
  <conditionalFormatting sqref="K241:K244">
    <cfRule type="cellIs" dxfId="49" priority="47" operator="greaterThan">
      <formula>10000</formula>
    </cfRule>
    <cfRule type="cellIs" dxfId="48" priority="48" operator="greaterThanOrEqual">
      <formula>1500</formula>
    </cfRule>
    <cfRule type="cellIs" dxfId="47" priority="49" operator="greaterThanOrEqual">
      <formula>1450</formula>
    </cfRule>
    <cfRule type="cellIs" dxfId="46" priority="50" operator="greaterThan">
      <formula>1400</formula>
    </cfRule>
  </conditionalFormatting>
  <conditionalFormatting sqref="K241:K244">
    <cfRule type="cellIs" dxfId="45" priority="42" operator="greaterThan">
      <formula>10000</formula>
    </cfRule>
    <cfRule type="cellIs" dxfId="44" priority="43" operator="greaterThanOrEqual">
      <formula>1500</formula>
    </cfRule>
    <cfRule type="cellIs" dxfId="43" priority="44" operator="greaterThanOrEqual">
      <formula>1475</formula>
    </cfRule>
    <cfRule type="cellIs" dxfId="42" priority="45" operator="greaterThanOrEqual">
      <formula>1450</formula>
    </cfRule>
    <cfRule type="cellIs" dxfId="41" priority="46" operator="greaterThanOrEqual">
      <formula>1400</formula>
    </cfRule>
  </conditionalFormatting>
  <conditionalFormatting sqref="I241:I243">
    <cfRule type="cellIs" dxfId="40" priority="41" operator="greaterThan">
      <formula>10000</formula>
    </cfRule>
  </conditionalFormatting>
  <conditionalFormatting sqref="I241:I243">
    <cfRule type="cellIs" dxfId="39" priority="35" operator="greaterThan">
      <formula>10000</formula>
    </cfRule>
    <cfRule type="cellIs" dxfId="38" priority="37" operator="greaterThanOrEqual">
      <formula>1550</formula>
    </cfRule>
    <cfRule type="cellIs" dxfId="37" priority="38" operator="greaterThanOrEqual">
      <formula>1525</formula>
    </cfRule>
    <cfRule type="cellIs" dxfId="36" priority="39" operator="greaterThanOrEqual">
      <formula>1475</formula>
    </cfRule>
    <cfRule type="cellIs" dxfId="35" priority="40" operator="greaterThanOrEqual">
      <formula>1400</formula>
    </cfRule>
  </conditionalFormatting>
  <conditionalFormatting sqref="I241:I243">
    <cfRule type="cellIs" dxfId="34" priority="36" operator="greaterThan">
      <formula>1600</formula>
    </cfRule>
  </conditionalFormatting>
  <conditionalFormatting sqref="J241:J243">
    <cfRule type="cellIs" dxfId="33" priority="34" operator="greaterThan">
      <formula>10000</formula>
    </cfRule>
  </conditionalFormatting>
  <conditionalFormatting sqref="J241:J243">
    <cfRule type="cellIs" dxfId="32" priority="28" operator="greaterThan">
      <formula>10000</formula>
    </cfRule>
    <cfRule type="cellIs" dxfId="31" priority="30" operator="greaterThanOrEqual">
      <formula>1550</formula>
    </cfRule>
    <cfRule type="cellIs" dxfId="30" priority="31" operator="greaterThanOrEqual">
      <formula>1525</formula>
    </cfRule>
    <cfRule type="cellIs" dxfId="29" priority="32" operator="greaterThanOrEqual">
      <formula>1475</formula>
    </cfRule>
    <cfRule type="cellIs" dxfId="28" priority="33" operator="greaterThanOrEqual">
      <formula>1400</formula>
    </cfRule>
  </conditionalFormatting>
  <conditionalFormatting sqref="J241:J243">
    <cfRule type="cellIs" dxfId="27" priority="29" operator="greaterThan">
      <formula>1600</formula>
    </cfRule>
  </conditionalFormatting>
  <conditionalFormatting sqref="K227:K230">
    <cfRule type="cellIs" dxfId="26" priority="24" operator="greaterThan">
      <formula>10000</formula>
    </cfRule>
    <cfRule type="cellIs" dxfId="25" priority="25" operator="greaterThanOrEqual">
      <formula>1500</formula>
    </cfRule>
    <cfRule type="cellIs" dxfId="24" priority="26" operator="greaterThanOrEqual">
      <formula>1450</formula>
    </cfRule>
    <cfRule type="cellIs" dxfId="23" priority="27" operator="greaterThan">
      <formula>1400</formula>
    </cfRule>
  </conditionalFormatting>
  <conditionalFormatting sqref="K227:K230">
    <cfRule type="cellIs" dxfId="22" priority="19" operator="greaterThan">
      <formula>10000</formula>
    </cfRule>
    <cfRule type="cellIs" dxfId="21" priority="20" operator="greaterThanOrEqual">
      <formula>1500</formula>
    </cfRule>
    <cfRule type="cellIs" dxfId="20" priority="21" operator="greaterThanOrEqual">
      <formula>1475</formula>
    </cfRule>
    <cfRule type="cellIs" dxfId="19" priority="22" operator="greaterThanOrEqual">
      <formula>1450</formula>
    </cfRule>
    <cfRule type="cellIs" dxfId="18" priority="23" operator="greaterThanOrEqual">
      <formula>1400</formula>
    </cfRule>
  </conditionalFormatting>
  <conditionalFormatting sqref="K227:K230">
    <cfRule type="cellIs" dxfId="17" priority="15" operator="greaterThan">
      <formula>10000</formula>
    </cfRule>
    <cfRule type="cellIs" dxfId="16" priority="16" operator="greaterThanOrEqual">
      <formula>1500</formula>
    </cfRule>
    <cfRule type="cellIs" dxfId="15" priority="17" operator="greaterThanOrEqual">
      <formula>1450</formula>
    </cfRule>
    <cfRule type="cellIs" dxfId="14" priority="18" operator="greaterThan">
      <formula>1400</formula>
    </cfRule>
  </conditionalFormatting>
  <conditionalFormatting sqref="K227:K230">
    <cfRule type="cellIs" dxfId="13" priority="10" operator="greaterThan">
      <formula>10000</formula>
    </cfRule>
    <cfRule type="cellIs" dxfId="12" priority="11" operator="greaterThanOrEqual">
      <formula>1500</formula>
    </cfRule>
    <cfRule type="cellIs" dxfId="11" priority="12" operator="greaterThanOrEqual">
      <formula>1475</formula>
    </cfRule>
    <cfRule type="cellIs" dxfId="10" priority="13" operator="greaterThanOrEqual">
      <formula>1450</formula>
    </cfRule>
    <cfRule type="cellIs" dxfId="9" priority="14" operator="greaterThanOrEqual">
      <formula>1400</formula>
    </cfRule>
  </conditionalFormatting>
  <conditionalFormatting sqref="K227:K230">
    <cfRule type="cellIs" dxfId="8" priority="6" operator="greaterThan">
      <formula>10000</formula>
    </cfRule>
    <cfRule type="cellIs" dxfId="7" priority="7" operator="greaterThanOrEqual">
      <formula>1500</formula>
    </cfRule>
    <cfRule type="cellIs" dxfId="6" priority="8" operator="greaterThanOrEqual">
      <formula>1450</formula>
    </cfRule>
    <cfRule type="cellIs" dxfId="5" priority="9" operator="greaterThan">
      <formula>1400</formula>
    </cfRule>
  </conditionalFormatting>
  <conditionalFormatting sqref="K227:K230">
    <cfRule type="cellIs" dxfId="4" priority="1" operator="greaterThan">
      <formula>10000</formula>
    </cfRule>
    <cfRule type="cellIs" dxfId="3" priority="2" operator="greaterThanOrEqual">
      <formula>1500</formula>
    </cfRule>
    <cfRule type="cellIs" dxfId="2" priority="3" operator="greaterThanOrEqual">
      <formula>1475</formula>
    </cfRule>
    <cfRule type="cellIs" dxfId="1" priority="4" operator="greaterThanOrEqual">
      <formula>1450</formula>
    </cfRule>
    <cfRule type="cellIs" dxfId="0" priority="5" operator="greaterThanOrEqual">
      <formula>1400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a">
          <controlPr defaultSize="0" autoLine="0" r:id="rId5">
            <anchor moveWithCells="1">
              <from>
                <xdr:col>12</xdr:col>
                <xdr:colOff>83820</xdr:colOff>
                <xdr:row>235</xdr:row>
                <xdr:rowOff>22860</xdr:rowOff>
              </from>
              <to>
                <xdr:col>13</xdr:col>
                <xdr:colOff>388620</xdr:colOff>
                <xdr:row>236</xdr:row>
                <xdr:rowOff>144780</xdr:rowOff>
              </to>
            </anchor>
          </controlPr>
        </control>
      </mc:Choice>
      <mc:Fallback>
        <control shapeId="1026" r:id="rId4" name="a"/>
      </mc:Fallback>
    </mc:AlternateContent>
    <mc:AlternateContent xmlns:mc="http://schemas.openxmlformats.org/markup-compatibility/2006">
      <mc:Choice Requires="x14">
        <control shapeId="1027" r:id="rId6" name="CommandButton1">
          <controlPr defaultSize="0" autoLine="0" r:id="rId7">
            <anchor moveWithCells="1">
              <from>
                <xdr:col>12</xdr:col>
                <xdr:colOff>83820</xdr:colOff>
                <xdr:row>208</xdr:row>
                <xdr:rowOff>22860</xdr:rowOff>
              </from>
              <to>
                <xdr:col>13</xdr:col>
                <xdr:colOff>388620</xdr:colOff>
                <xdr:row>209</xdr:row>
                <xdr:rowOff>144780</xdr:rowOff>
              </to>
            </anchor>
          </controlPr>
        </control>
      </mc:Choice>
      <mc:Fallback>
        <control shapeId="1027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E0327-29BA-4FC0-9F83-AAD3379CE9B9}">
  <sheetPr codeName="Sheet4"/>
  <dimension ref="A1:F95"/>
  <sheetViews>
    <sheetView workbookViewId="0">
      <selection sqref="A1:A1048576"/>
    </sheetView>
  </sheetViews>
  <sheetFormatPr defaultRowHeight="14.4" x14ac:dyDescent="0.3"/>
  <cols>
    <col min="1" max="1" width="16.44140625" customWidth="1"/>
    <col min="2" max="2" width="20" customWidth="1"/>
    <col min="5" max="5" width="17.21875" style="6" customWidth="1"/>
  </cols>
  <sheetData>
    <row r="1" spans="1:6" x14ac:dyDescent="0.3">
      <c r="A1" t="s">
        <v>50</v>
      </c>
      <c r="B1" t="s">
        <v>51</v>
      </c>
      <c r="C1" t="s">
        <v>52</v>
      </c>
      <c r="D1" t="s">
        <v>53</v>
      </c>
      <c r="E1" s="6" t="s">
        <v>54</v>
      </c>
      <c r="F1" t="s">
        <v>55</v>
      </c>
    </row>
    <row r="2" spans="1:6" x14ac:dyDescent="0.3">
      <c r="A2" t="s">
        <v>706</v>
      </c>
      <c r="B2" s="5">
        <v>44522.947175925925</v>
      </c>
      <c r="C2" t="s">
        <v>56</v>
      </c>
      <c r="D2" t="s">
        <v>57</v>
      </c>
      <c r="E2">
        <v>1559.2</v>
      </c>
      <c r="F2" t="s">
        <v>56</v>
      </c>
    </row>
    <row r="3" spans="1:6" x14ac:dyDescent="0.3">
      <c r="A3" t="s">
        <v>707</v>
      </c>
      <c r="B3" s="5">
        <v>44522.941770833335</v>
      </c>
      <c r="C3" t="s">
        <v>56</v>
      </c>
      <c r="D3" t="s">
        <v>57</v>
      </c>
      <c r="E3">
        <v>1533</v>
      </c>
      <c r="F3" t="s">
        <v>56</v>
      </c>
    </row>
    <row r="4" spans="1:6" x14ac:dyDescent="0.3">
      <c r="E4"/>
    </row>
    <row r="5" spans="1:6" x14ac:dyDescent="0.3">
      <c r="A5" t="s">
        <v>708</v>
      </c>
      <c r="B5" s="5">
        <v>44522.928067129629</v>
      </c>
      <c r="C5" t="s">
        <v>56</v>
      </c>
      <c r="D5" t="s">
        <v>57</v>
      </c>
      <c r="E5">
        <v>1551.3</v>
      </c>
      <c r="F5" t="s">
        <v>56</v>
      </c>
    </row>
    <row r="6" spans="1:6" x14ac:dyDescent="0.3">
      <c r="A6" t="s">
        <v>709</v>
      </c>
      <c r="B6" s="5">
        <v>44522.884548611109</v>
      </c>
      <c r="C6" t="s">
        <v>56</v>
      </c>
      <c r="D6" t="s">
        <v>57</v>
      </c>
      <c r="E6">
        <v>1516.6</v>
      </c>
      <c r="F6" t="s">
        <v>56</v>
      </c>
    </row>
    <row r="7" spans="1:6" x14ac:dyDescent="0.3">
      <c r="A7" t="s">
        <v>710</v>
      </c>
      <c r="B7" s="5">
        <v>44522.84269675926</v>
      </c>
      <c r="C7" t="s">
        <v>56</v>
      </c>
      <c r="D7" t="s">
        <v>57</v>
      </c>
      <c r="E7">
        <v>1543.6</v>
      </c>
      <c r="F7" t="s">
        <v>56</v>
      </c>
    </row>
    <row r="8" spans="1:6" x14ac:dyDescent="0.3">
      <c r="A8" t="s">
        <v>696</v>
      </c>
      <c r="B8" s="5">
        <v>44521.939710648148</v>
      </c>
      <c r="C8" t="s">
        <v>56</v>
      </c>
      <c r="D8" t="s">
        <v>57</v>
      </c>
      <c r="E8">
        <v>1604</v>
      </c>
      <c r="F8" t="s">
        <v>56</v>
      </c>
    </row>
    <row r="9" spans="1:6" x14ac:dyDescent="0.3">
      <c r="A9" t="s">
        <v>693</v>
      </c>
      <c r="B9" s="5">
        <v>44521.905439814815</v>
      </c>
      <c r="C9" t="s">
        <v>56</v>
      </c>
      <c r="D9" t="s">
        <v>57</v>
      </c>
      <c r="E9" s="2">
        <v>1590.7</v>
      </c>
      <c r="F9" t="s">
        <v>56</v>
      </c>
    </row>
    <row r="10" spans="1:6" x14ac:dyDescent="0.3">
      <c r="A10" t="s">
        <v>690</v>
      </c>
      <c r="B10" s="5">
        <v>44521.706400462965</v>
      </c>
      <c r="C10" t="s">
        <v>56</v>
      </c>
      <c r="D10" t="s">
        <v>57</v>
      </c>
      <c r="E10">
        <v>1620.6</v>
      </c>
      <c r="F10" t="s">
        <v>56</v>
      </c>
    </row>
    <row r="11" spans="1:6" x14ac:dyDescent="0.3">
      <c r="E11"/>
    </row>
    <row r="12" spans="1:6" x14ac:dyDescent="0.3">
      <c r="E12"/>
    </row>
    <row r="13" spans="1:6" x14ac:dyDescent="0.3">
      <c r="A13" t="s">
        <v>689</v>
      </c>
      <c r="B13" s="5">
        <v>44521.501273148147</v>
      </c>
      <c r="C13" t="s">
        <v>56</v>
      </c>
      <c r="D13" t="s">
        <v>57</v>
      </c>
      <c r="E13">
        <v>1598</v>
      </c>
      <c r="F13" t="s">
        <v>56</v>
      </c>
    </row>
    <row r="14" spans="1:6" x14ac:dyDescent="0.3">
      <c r="A14" t="s">
        <v>683</v>
      </c>
      <c r="B14" s="5">
        <v>44520.983680555553</v>
      </c>
      <c r="C14" t="s">
        <v>56</v>
      </c>
      <c r="D14" t="s">
        <v>57</v>
      </c>
      <c r="E14">
        <v>1631.9</v>
      </c>
      <c r="F14" t="s">
        <v>56</v>
      </c>
    </row>
    <row r="15" spans="1:6" x14ac:dyDescent="0.3">
      <c r="A15" t="s">
        <v>684</v>
      </c>
      <c r="B15" s="5">
        <v>44520.979953703703</v>
      </c>
      <c r="C15" t="s">
        <v>56</v>
      </c>
      <c r="D15" t="s">
        <v>57</v>
      </c>
      <c r="E15">
        <v>1531.2</v>
      </c>
      <c r="F15" t="s">
        <v>56</v>
      </c>
    </row>
    <row r="16" spans="1:6" x14ac:dyDescent="0.3">
      <c r="A16" t="s">
        <v>685</v>
      </c>
      <c r="B16" s="5">
        <v>44520.976342592592</v>
      </c>
      <c r="C16" t="s">
        <v>56</v>
      </c>
      <c r="D16" t="s">
        <v>57</v>
      </c>
      <c r="E16">
        <v>1508.9</v>
      </c>
      <c r="F16" t="s">
        <v>56</v>
      </c>
    </row>
    <row r="17" spans="1:6" x14ac:dyDescent="0.3">
      <c r="A17" t="s">
        <v>670</v>
      </c>
      <c r="B17" s="5">
        <v>44520.479780092595</v>
      </c>
      <c r="C17" t="s">
        <v>56</v>
      </c>
      <c r="D17" t="s">
        <v>57</v>
      </c>
      <c r="E17">
        <v>1477.3</v>
      </c>
      <c r="F17" t="s">
        <v>56</v>
      </c>
    </row>
    <row r="18" spans="1:6" x14ac:dyDescent="0.3">
      <c r="A18" t="s">
        <v>671</v>
      </c>
      <c r="B18" s="5">
        <v>44520.47074074074</v>
      </c>
      <c r="C18" t="s">
        <v>56</v>
      </c>
      <c r="D18" t="s">
        <v>57</v>
      </c>
      <c r="E18">
        <v>1350.3</v>
      </c>
      <c r="F18" t="s">
        <v>56</v>
      </c>
    </row>
    <row r="19" spans="1:6" x14ac:dyDescent="0.3">
      <c r="A19" t="s">
        <v>567</v>
      </c>
      <c r="B19" s="5">
        <v>44519.974490740744</v>
      </c>
      <c r="C19" t="s">
        <v>56</v>
      </c>
      <c r="D19" t="s">
        <v>57</v>
      </c>
      <c r="E19">
        <v>1461.6</v>
      </c>
      <c r="F19" t="s">
        <v>56</v>
      </c>
    </row>
    <row r="20" spans="1:6" x14ac:dyDescent="0.3">
      <c r="A20" t="s">
        <v>566</v>
      </c>
      <c r="B20" s="5">
        <v>44519.873506944445</v>
      </c>
      <c r="C20" t="s">
        <v>56</v>
      </c>
      <c r="D20" t="s">
        <v>57</v>
      </c>
      <c r="E20">
        <v>1512.3</v>
      </c>
      <c r="F20" t="s">
        <v>56</v>
      </c>
    </row>
    <row r="21" spans="1:6" x14ac:dyDescent="0.3">
      <c r="A21" t="s">
        <v>563</v>
      </c>
      <c r="B21" s="5">
        <v>44519.867673611108</v>
      </c>
      <c r="C21" t="s">
        <v>56</v>
      </c>
      <c r="D21" t="s">
        <v>57</v>
      </c>
      <c r="E21">
        <v>1537.4</v>
      </c>
      <c r="F21" t="s">
        <v>56</v>
      </c>
    </row>
    <row r="22" spans="1:6" x14ac:dyDescent="0.3">
      <c r="A22" t="s">
        <v>564</v>
      </c>
      <c r="B22" s="5">
        <v>44519.866076388891</v>
      </c>
      <c r="C22" t="s">
        <v>56</v>
      </c>
      <c r="D22" t="s">
        <v>57</v>
      </c>
      <c r="E22">
        <v>1481.5</v>
      </c>
      <c r="F22" t="s">
        <v>56</v>
      </c>
    </row>
    <row r="23" spans="1:6" x14ac:dyDescent="0.3">
      <c r="A23" t="s">
        <v>565</v>
      </c>
      <c r="B23" s="5">
        <v>44519.864282407405</v>
      </c>
      <c r="C23" t="s">
        <v>56</v>
      </c>
      <c r="D23" t="s">
        <v>57</v>
      </c>
      <c r="E23">
        <v>1502</v>
      </c>
      <c r="F23" t="s">
        <v>56</v>
      </c>
    </row>
    <row r="24" spans="1:6" x14ac:dyDescent="0.3">
      <c r="A24" t="s">
        <v>402</v>
      </c>
      <c r="B24" s="5">
        <v>44518.94903935185</v>
      </c>
      <c r="C24" t="s">
        <v>56</v>
      </c>
      <c r="D24" t="s">
        <v>57</v>
      </c>
      <c r="E24">
        <v>1447.6</v>
      </c>
      <c r="F24" t="s">
        <v>56</v>
      </c>
    </row>
    <row r="25" spans="1:6" x14ac:dyDescent="0.3">
      <c r="A25" t="s">
        <v>403</v>
      </c>
      <c r="B25" s="5">
        <v>44518.933576388888</v>
      </c>
      <c r="C25" t="s">
        <v>56</v>
      </c>
      <c r="D25" t="s">
        <v>57</v>
      </c>
      <c r="E25">
        <v>1532.9</v>
      </c>
      <c r="F25" t="s">
        <v>56</v>
      </c>
    </row>
    <row r="26" spans="1:6" x14ac:dyDescent="0.3">
      <c r="A26" t="s">
        <v>404</v>
      </c>
      <c r="B26" s="5">
        <v>44518.932071759256</v>
      </c>
      <c r="C26" t="s">
        <v>56</v>
      </c>
      <c r="D26" t="s">
        <v>57</v>
      </c>
      <c r="E26">
        <v>1480.7</v>
      </c>
      <c r="F26" t="s">
        <v>56</v>
      </c>
    </row>
    <row r="27" spans="1:6" x14ac:dyDescent="0.3">
      <c r="A27" t="s">
        <v>394</v>
      </c>
      <c r="B27" s="5">
        <v>44518.730740740742</v>
      </c>
      <c r="C27" t="s">
        <v>56</v>
      </c>
      <c r="D27" t="s">
        <v>57</v>
      </c>
      <c r="E27">
        <v>1564.4</v>
      </c>
      <c r="F27" t="s">
        <v>56</v>
      </c>
    </row>
    <row r="28" spans="1:6" x14ac:dyDescent="0.3">
      <c r="A28" t="s">
        <v>395</v>
      </c>
      <c r="B28" s="5">
        <v>44518.729548611111</v>
      </c>
      <c r="C28" t="s">
        <v>56</v>
      </c>
      <c r="D28" t="s">
        <v>57</v>
      </c>
      <c r="E28">
        <v>1503.1</v>
      </c>
      <c r="F28" t="s">
        <v>56</v>
      </c>
    </row>
    <row r="29" spans="1:6" x14ac:dyDescent="0.3">
      <c r="A29" t="s">
        <v>389</v>
      </c>
      <c r="B29" s="5">
        <v>44517.951249999998</v>
      </c>
      <c r="C29" t="s">
        <v>56</v>
      </c>
      <c r="D29" t="s">
        <v>57</v>
      </c>
      <c r="E29">
        <v>1454.5</v>
      </c>
      <c r="F29" t="s">
        <v>56</v>
      </c>
    </row>
    <row r="30" spans="1:6" x14ac:dyDescent="0.3">
      <c r="A30" t="s">
        <v>392</v>
      </c>
      <c r="B30" s="5">
        <v>44517.948518518519</v>
      </c>
      <c r="C30" t="s">
        <v>56</v>
      </c>
      <c r="D30" t="s">
        <v>57</v>
      </c>
      <c r="E30">
        <v>1481.3</v>
      </c>
      <c r="F30" t="s">
        <v>56</v>
      </c>
    </row>
    <row r="31" spans="1:6" x14ac:dyDescent="0.3">
      <c r="A31" t="s">
        <v>390</v>
      </c>
      <c r="B31" s="5">
        <v>44517.902604166666</v>
      </c>
      <c r="C31" t="s">
        <v>56</v>
      </c>
      <c r="D31" t="s">
        <v>57</v>
      </c>
      <c r="E31">
        <v>1497.8</v>
      </c>
      <c r="F31" t="s">
        <v>56</v>
      </c>
    </row>
    <row r="32" spans="1:6" x14ac:dyDescent="0.3">
      <c r="A32" t="s">
        <v>389</v>
      </c>
      <c r="B32" s="5">
        <v>44517.892164351855</v>
      </c>
      <c r="C32" t="s">
        <v>56</v>
      </c>
      <c r="D32" t="s">
        <v>57</v>
      </c>
      <c r="E32">
        <v>1508.5</v>
      </c>
      <c r="F32" t="s">
        <v>56</v>
      </c>
    </row>
    <row r="33" spans="1:6" x14ac:dyDescent="0.3">
      <c r="A33" t="s">
        <v>386</v>
      </c>
      <c r="B33" s="5">
        <v>44517.76599537037</v>
      </c>
      <c r="C33" t="s">
        <v>56</v>
      </c>
      <c r="D33" t="s">
        <v>57</v>
      </c>
      <c r="E33">
        <v>1533.9</v>
      </c>
      <c r="F33" t="s">
        <v>56</v>
      </c>
    </row>
    <row r="34" spans="1:6" x14ac:dyDescent="0.3">
      <c r="A34" t="s">
        <v>379</v>
      </c>
      <c r="B34" s="5">
        <v>44516.965925925928</v>
      </c>
      <c r="C34" t="s">
        <v>56</v>
      </c>
      <c r="D34" t="s">
        <v>57</v>
      </c>
      <c r="E34">
        <v>1505.3</v>
      </c>
      <c r="F34" t="s">
        <v>56</v>
      </c>
    </row>
    <row r="35" spans="1:6" x14ac:dyDescent="0.3">
      <c r="A35" t="s">
        <v>380</v>
      </c>
      <c r="B35" s="5">
        <v>44516.965185185189</v>
      </c>
      <c r="C35" t="s">
        <v>56</v>
      </c>
      <c r="D35" t="s">
        <v>57</v>
      </c>
      <c r="E35">
        <v>1467.5</v>
      </c>
      <c r="F35" t="s">
        <v>56</v>
      </c>
    </row>
    <row r="36" spans="1:6" x14ac:dyDescent="0.3">
      <c r="A36" t="s">
        <v>381</v>
      </c>
      <c r="B36" s="5">
        <v>44516.963368055556</v>
      </c>
      <c r="C36" t="s">
        <v>56</v>
      </c>
      <c r="D36" t="s">
        <v>57</v>
      </c>
      <c r="E36">
        <v>1449.9</v>
      </c>
      <c r="F36" t="s">
        <v>56</v>
      </c>
    </row>
    <row r="37" spans="1:6" x14ac:dyDescent="0.3">
      <c r="A37" t="s">
        <v>378</v>
      </c>
      <c r="B37" s="5">
        <v>44516.935682870368</v>
      </c>
      <c r="C37" t="s">
        <v>56</v>
      </c>
      <c r="D37" t="s">
        <v>57</v>
      </c>
      <c r="E37">
        <v>1476.1</v>
      </c>
      <c r="F37" t="s">
        <v>56</v>
      </c>
    </row>
    <row r="38" spans="1:6" x14ac:dyDescent="0.3">
      <c r="A38" t="s">
        <v>376</v>
      </c>
      <c r="B38" s="5">
        <v>44516.72148148148</v>
      </c>
      <c r="C38" t="s">
        <v>56</v>
      </c>
      <c r="D38" t="s">
        <v>57</v>
      </c>
      <c r="E38">
        <v>1462</v>
      </c>
      <c r="F38" t="s">
        <v>56</v>
      </c>
    </row>
    <row r="39" spans="1:6" x14ac:dyDescent="0.3">
      <c r="A39" t="s">
        <v>279</v>
      </c>
      <c r="B39" s="5">
        <v>44515.998576388891</v>
      </c>
      <c r="C39" t="s">
        <v>56</v>
      </c>
      <c r="D39" t="s">
        <v>57</v>
      </c>
      <c r="E39">
        <v>1471.3</v>
      </c>
      <c r="F39" t="s">
        <v>56</v>
      </c>
    </row>
    <row r="40" spans="1:6" x14ac:dyDescent="0.3">
      <c r="A40" t="s">
        <v>294</v>
      </c>
      <c r="B40" s="5">
        <v>44515.984907407408</v>
      </c>
      <c r="C40" t="s">
        <v>56</v>
      </c>
      <c r="D40" t="s">
        <v>57</v>
      </c>
      <c r="E40">
        <v>1503.1</v>
      </c>
      <c r="F40" t="s">
        <v>56</v>
      </c>
    </row>
    <row r="41" spans="1:6" x14ac:dyDescent="0.3">
      <c r="A41" t="s">
        <v>292</v>
      </c>
      <c r="B41" s="5">
        <v>44515.75476851852</v>
      </c>
      <c r="C41" t="s">
        <v>56</v>
      </c>
      <c r="D41" t="s">
        <v>57</v>
      </c>
      <c r="E41">
        <v>1493.5</v>
      </c>
      <c r="F41" t="s">
        <v>56</v>
      </c>
    </row>
    <row r="42" spans="1:6" x14ac:dyDescent="0.3">
      <c r="A42" t="s">
        <v>289</v>
      </c>
      <c r="B42" s="5">
        <v>44515.383900462963</v>
      </c>
      <c r="C42" t="s">
        <v>56</v>
      </c>
      <c r="D42" t="s">
        <v>57</v>
      </c>
      <c r="E42">
        <v>1541.6</v>
      </c>
      <c r="F42" t="s">
        <v>56</v>
      </c>
    </row>
    <row r="43" spans="1:6" x14ac:dyDescent="0.3">
      <c r="A43" t="s">
        <v>290</v>
      </c>
      <c r="B43" s="5">
        <v>44515.3825</v>
      </c>
      <c r="C43" t="s">
        <v>56</v>
      </c>
      <c r="D43" t="s">
        <v>57</v>
      </c>
      <c r="E43">
        <v>1413.8</v>
      </c>
      <c r="F43" t="s">
        <v>56</v>
      </c>
    </row>
    <row r="44" spans="1:6" x14ac:dyDescent="0.3">
      <c r="A44" t="s">
        <v>159</v>
      </c>
      <c r="B44" s="5">
        <v>44514.878009259257</v>
      </c>
      <c r="C44" t="s">
        <v>56</v>
      </c>
      <c r="D44" t="s">
        <v>57</v>
      </c>
      <c r="E44">
        <v>1499.5</v>
      </c>
      <c r="F44" t="s">
        <v>56</v>
      </c>
    </row>
    <row r="45" spans="1:6" x14ac:dyDescent="0.3">
      <c r="A45" t="s">
        <v>156</v>
      </c>
      <c r="B45" s="5">
        <v>44514.8753125</v>
      </c>
      <c r="C45" t="s">
        <v>56</v>
      </c>
      <c r="D45" t="s">
        <v>57</v>
      </c>
      <c r="E45">
        <v>1537.4</v>
      </c>
      <c r="F45" t="s">
        <v>56</v>
      </c>
    </row>
    <row r="46" spans="1:6" x14ac:dyDescent="0.3">
      <c r="A46" t="s">
        <v>286</v>
      </c>
      <c r="B46" s="5">
        <v>44514.829155092593</v>
      </c>
      <c r="C46" t="s">
        <v>56</v>
      </c>
      <c r="D46" t="s">
        <v>57</v>
      </c>
      <c r="E46">
        <v>1482.4</v>
      </c>
      <c r="F46" t="s">
        <v>56</v>
      </c>
    </row>
    <row r="47" spans="1:6" x14ac:dyDescent="0.3">
      <c r="A47" t="s">
        <v>283</v>
      </c>
      <c r="B47" s="5">
        <v>44514.709490740737</v>
      </c>
      <c r="C47" t="s">
        <v>284</v>
      </c>
      <c r="D47" t="s">
        <v>57</v>
      </c>
      <c r="E47">
        <v>1476.8</v>
      </c>
      <c r="F47" t="s">
        <v>56</v>
      </c>
    </row>
    <row r="48" spans="1:6" x14ac:dyDescent="0.3">
      <c r="A48" t="s">
        <v>281</v>
      </c>
      <c r="B48" s="5">
        <v>44514.309131944443</v>
      </c>
      <c r="C48" t="s">
        <v>56</v>
      </c>
      <c r="D48" t="s">
        <v>57</v>
      </c>
      <c r="E48">
        <v>1439.6</v>
      </c>
      <c r="F48" t="s">
        <v>56</v>
      </c>
    </row>
    <row r="49" spans="1:6" x14ac:dyDescent="0.3">
      <c r="A49" t="s">
        <v>279</v>
      </c>
      <c r="B49" s="5">
        <v>44513.985185185185</v>
      </c>
      <c r="C49" t="s">
        <v>56</v>
      </c>
      <c r="D49" t="s">
        <v>57</v>
      </c>
      <c r="E49">
        <v>1561</v>
      </c>
      <c r="F49" t="s">
        <v>56</v>
      </c>
    </row>
    <row r="50" spans="1:6" x14ac:dyDescent="0.3">
      <c r="A50" t="s">
        <v>280</v>
      </c>
      <c r="B50" s="5">
        <v>44513.978101851855</v>
      </c>
      <c r="C50" t="s">
        <v>56</v>
      </c>
      <c r="D50" t="s">
        <v>57</v>
      </c>
      <c r="E50">
        <v>1465.7</v>
      </c>
      <c r="F50" t="s">
        <v>56</v>
      </c>
    </row>
    <row r="51" spans="1:6" x14ac:dyDescent="0.3">
      <c r="A51" t="s">
        <v>277</v>
      </c>
      <c r="B51" s="5">
        <v>44513.900821759256</v>
      </c>
      <c r="C51" t="s">
        <v>56</v>
      </c>
      <c r="D51" t="s">
        <v>57</v>
      </c>
      <c r="E51">
        <v>1488.3</v>
      </c>
      <c r="F51" t="s">
        <v>56</v>
      </c>
    </row>
    <row r="53" spans="1:6" x14ac:dyDescent="0.3">
      <c r="B53" s="5"/>
    </row>
    <row r="55" spans="1:6" x14ac:dyDescent="0.3">
      <c r="B55" s="5"/>
    </row>
    <row r="57" spans="1:6" x14ac:dyDescent="0.3">
      <c r="B57" s="5"/>
    </row>
    <row r="59" spans="1:6" x14ac:dyDescent="0.3">
      <c r="B59" s="5"/>
    </row>
    <row r="61" spans="1:6" x14ac:dyDescent="0.3">
      <c r="B61" s="5"/>
    </row>
    <row r="63" spans="1:6" x14ac:dyDescent="0.3">
      <c r="B63" s="5"/>
    </row>
    <row r="65" spans="2:2" x14ac:dyDescent="0.3">
      <c r="B65" s="5"/>
    </row>
    <row r="67" spans="2:2" x14ac:dyDescent="0.3">
      <c r="B67" s="5"/>
    </row>
    <row r="69" spans="2:2" x14ac:dyDescent="0.3">
      <c r="B69" s="5"/>
    </row>
    <row r="71" spans="2:2" x14ac:dyDescent="0.3">
      <c r="B71" s="5"/>
    </row>
    <row r="73" spans="2:2" x14ac:dyDescent="0.3">
      <c r="B73" s="5"/>
    </row>
    <row r="75" spans="2:2" x14ac:dyDescent="0.3">
      <c r="B75" s="5"/>
    </row>
    <row r="77" spans="2:2" x14ac:dyDescent="0.3">
      <c r="B77" s="5"/>
    </row>
    <row r="79" spans="2:2" x14ac:dyDescent="0.3">
      <c r="B79" s="5"/>
    </row>
    <row r="81" spans="2:2" x14ac:dyDescent="0.3">
      <c r="B81" s="5"/>
    </row>
    <row r="83" spans="2:2" x14ac:dyDescent="0.3">
      <c r="B83" s="5"/>
    </row>
    <row r="85" spans="2:2" x14ac:dyDescent="0.3">
      <c r="B85" s="5"/>
    </row>
    <row r="87" spans="2:2" x14ac:dyDescent="0.3">
      <c r="B87" s="5"/>
    </row>
    <row r="89" spans="2:2" x14ac:dyDescent="0.3">
      <c r="B89" s="5"/>
    </row>
    <row r="91" spans="2:2" x14ac:dyDescent="0.3">
      <c r="B91" s="5"/>
    </row>
    <row r="93" spans="2:2" x14ac:dyDescent="0.3">
      <c r="B93" s="5"/>
    </row>
    <row r="95" spans="2:2" x14ac:dyDescent="0.3">
      <c r="B95" s="5"/>
    </row>
  </sheetData>
  <sortState xmlns:xlrd2="http://schemas.microsoft.com/office/spreadsheetml/2017/richdata2" ref="A2:F97">
    <sortCondition descending="1" ref="E1:E97"/>
  </sortState>
  <conditionalFormatting sqref="A1 A52:A1048576 A9">
    <cfRule type="duplicateValues" dxfId="69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EF88-9581-476F-9A82-89B7867E6C1B}">
  <sheetPr codeName="Sheet5"/>
  <dimension ref="A1:B2"/>
  <sheetViews>
    <sheetView workbookViewId="0">
      <selection activeCell="L19" sqref="L19"/>
    </sheetView>
  </sheetViews>
  <sheetFormatPr defaultRowHeight="14.4" x14ac:dyDescent="0.3"/>
  <cols>
    <col min="2" max="2" width="23.5546875" customWidth="1"/>
  </cols>
  <sheetData>
    <row r="1" spans="1:2" x14ac:dyDescent="0.3">
      <c r="A1" t="s">
        <v>80</v>
      </c>
    </row>
    <row r="2" spans="1:2" x14ac:dyDescent="0.3">
      <c r="B2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8A36F-3E51-4D56-A60F-9F17EFFACB85}">
  <sheetPr codeName="Sheet2"/>
  <dimension ref="A1:D271"/>
  <sheetViews>
    <sheetView topLeftCell="A55" workbookViewId="0">
      <selection activeCell="F10" sqref="F10"/>
    </sheetView>
  </sheetViews>
  <sheetFormatPr defaultRowHeight="14.4" x14ac:dyDescent="0.3"/>
  <cols>
    <col min="1" max="1" width="57.5546875" style="2" customWidth="1"/>
    <col min="2" max="2" width="8.88671875" style="2"/>
  </cols>
  <sheetData>
    <row r="1" spans="1:2" x14ac:dyDescent="0.3">
      <c r="A1" s="2" t="s">
        <v>296</v>
      </c>
      <c r="B1" s="2" t="s">
        <v>160</v>
      </c>
    </row>
    <row r="2" spans="1:2" x14ac:dyDescent="0.3">
      <c r="A2" s="2" t="s">
        <v>112</v>
      </c>
      <c r="B2" s="2">
        <v>1578.2</v>
      </c>
    </row>
    <row r="3" spans="1:2" x14ac:dyDescent="0.3">
      <c r="A3" s="2" t="s">
        <v>113</v>
      </c>
      <c r="B3" s="2">
        <v>1559.1</v>
      </c>
    </row>
    <row r="4" spans="1:2" x14ac:dyDescent="0.3">
      <c r="A4" s="2" t="s">
        <v>112</v>
      </c>
      <c r="B4" s="2">
        <v>1558.9</v>
      </c>
    </row>
    <row r="5" spans="1:2" x14ac:dyDescent="0.3">
      <c r="A5" s="2" t="s">
        <v>109</v>
      </c>
      <c r="B5" s="2">
        <v>1552.2</v>
      </c>
    </row>
    <row r="6" spans="1:2" x14ac:dyDescent="0.3">
      <c r="A6" s="2" t="s">
        <v>95</v>
      </c>
      <c r="B6" s="2">
        <v>1547.6</v>
      </c>
    </row>
    <row r="7" spans="1:2" x14ac:dyDescent="0.3">
      <c r="A7" s="2" t="s">
        <v>132</v>
      </c>
      <c r="B7" s="2">
        <v>1546</v>
      </c>
    </row>
    <row r="8" spans="1:2" x14ac:dyDescent="0.3">
      <c r="A8" s="2" t="s">
        <v>279</v>
      </c>
      <c r="B8" s="2">
        <v>1544.7</v>
      </c>
    </row>
    <row r="9" spans="1:2" x14ac:dyDescent="0.3">
      <c r="A9" s="2" t="s">
        <v>153</v>
      </c>
      <c r="B9" s="2">
        <v>1539.6</v>
      </c>
    </row>
    <row r="10" spans="1:2" x14ac:dyDescent="0.3">
      <c r="A10" s="2" t="s">
        <v>109</v>
      </c>
      <c r="B10" s="2">
        <v>1535.9</v>
      </c>
    </row>
    <row r="11" spans="1:2" x14ac:dyDescent="0.3">
      <c r="A11" s="2" t="s">
        <v>101</v>
      </c>
      <c r="B11" s="2">
        <v>1535.7</v>
      </c>
    </row>
    <row r="12" spans="1:2" x14ac:dyDescent="0.3">
      <c r="A12" s="2" t="s">
        <v>146</v>
      </c>
      <c r="B12" s="2">
        <v>1533.6</v>
      </c>
    </row>
    <row r="13" spans="1:2" x14ac:dyDescent="0.3">
      <c r="A13" s="2" t="s">
        <v>112</v>
      </c>
      <c r="B13" s="2">
        <v>1532.7</v>
      </c>
    </row>
    <row r="14" spans="1:2" x14ac:dyDescent="0.3">
      <c r="A14" s="2" t="s">
        <v>136</v>
      </c>
      <c r="B14" s="2">
        <v>1530.2</v>
      </c>
    </row>
    <row r="15" spans="1:2" x14ac:dyDescent="0.3">
      <c r="A15" s="2" t="s">
        <v>105</v>
      </c>
      <c r="B15" s="2">
        <v>1530</v>
      </c>
    </row>
    <row r="16" spans="1:2" x14ac:dyDescent="0.3">
      <c r="A16" s="2" t="s">
        <v>289</v>
      </c>
      <c r="B16" s="2">
        <v>1526</v>
      </c>
    </row>
    <row r="17" spans="1:2" x14ac:dyDescent="0.3">
      <c r="A17" s="2" t="s">
        <v>386</v>
      </c>
      <c r="B17" s="2">
        <v>1525.5</v>
      </c>
    </row>
    <row r="18" spans="1:2" x14ac:dyDescent="0.3">
      <c r="A18" s="2" t="s">
        <v>394</v>
      </c>
      <c r="B18" s="2">
        <v>1525.3</v>
      </c>
    </row>
    <row r="19" spans="1:2" x14ac:dyDescent="0.3">
      <c r="A19" s="2" t="s">
        <v>156</v>
      </c>
      <c r="B19" s="2">
        <v>1524.6</v>
      </c>
    </row>
    <row r="20" spans="1:2" x14ac:dyDescent="0.3">
      <c r="A20" s="2" t="s">
        <v>100</v>
      </c>
      <c r="B20" s="2">
        <v>1523.9</v>
      </c>
    </row>
    <row r="21" spans="1:2" x14ac:dyDescent="0.3">
      <c r="A21" s="2" t="s">
        <v>111</v>
      </c>
      <c r="B21" s="2">
        <v>1522.2</v>
      </c>
    </row>
    <row r="22" spans="1:2" x14ac:dyDescent="0.3">
      <c r="A22" s="2" t="s">
        <v>138</v>
      </c>
      <c r="B22" s="2">
        <v>1521.6</v>
      </c>
    </row>
    <row r="23" spans="1:2" x14ac:dyDescent="0.3">
      <c r="A23" s="2" t="s">
        <v>150</v>
      </c>
      <c r="B23" s="2">
        <v>1521.3</v>
      </c>
    </row>
    <row r="24" spans="1:2" x14ac:dyDescent="0.3">
      <c r="A24" s="2" t="s">
        <v>101</v>
      </c>
      <c r="B24" s="2">
        <v>1519.1</v>
      </c>
    </row>
    <row r="25" spans="1:2" x14ac:dyDescent="0.3">
      <c r="A25" s="2" t="s">
        <v>113</v>
      </c>
      <c r="B25" s="2">
        <v>1518.7</v>
      </c>
    </row>
    <row r="26" spans="1:2" x14ac:dyDescent="0.3">
      <c r="A26" s="2" t="s">
        <v>105</v>
      </c>
      <c r="B26" s="2">
        <v>1517.8</v>
      </c>
    </row>
    <row r="27" spans="1:2" x14ac:dyDescent="0.3">
      <c r="A27" s="2" t="s">
        <v>91</v>
      </c>
      <c r="B27" s="2">
        <v>1516.5</v>
      </c>
    </row>
    <row r="28" spans="1:2" x14ac:dyDescent="0.3">
      <c r="A28" s="2" t="s">
        <v>403</v>
      </c>
      <c r="B28" s="2">
        <v>1514.7</v>
      </c>
    </row>
    <row r="29" spans="1:2" x14ac:dyDescent="0.3">
      <c r="A29" s="2" t="s">
        <v>108</v>
      </c>
      <c r="B29" s="2">
        <v>1513.2</v>
      </c>
    </row>
    <row r="30" spans="1:2" x14ac:dyDescent="0.3">
      <c r="A30" s="2" t="s">
        <v>286</v>
      </c>
      <c r="B30" s="2">
        <v>1512.9</v>
      </c>
    </row>
    <row r="31" spans="1:2" x14ac:dyDescent="0.3">
      <c r="A31" s="2" t="s">
        <v>139</v>
      </c>
      <c r="B31" s="2">
        <v>1512.7</v>
      </c>
    </row>
    <row r="32" spans="1:2" x14ac:dyDescent="0.3">
      <c r="A32" s="2" t="s">
        <v>133</v>
      </c>
      <c r="B32" s="2">
        <v>1511.8</v>
      </c>
    </row>
    <row r="33" spans="1:2" x14ac:dyDescent="0.3">
      <c r="A33" s="2" t="s">
        <v>105</v>
      </c>
      <c r="B33" s="2">
        <v>1511.5</v>
      </c>
    </row>
    <row r="34" spans="1:2" x14ac:dyDescent="0.3">
      <c r="A34" s="2" t="s">
        <v>143</v>
      </c>
      <c r="B34" s="2">
        <v>1510.8</v>
      </c>
    </row>
    <row r="35" spans="1:2" x14ac:dyDescent="0.3">
      <c r="A35" s="2" t="s">
        <v>146</v>
      </c>
      <c r="B35" s="2">
        <v>1510.1</v>
      </c>
    </row>
    <row r="36" spans="1:2" x14ac:dyDescent="0.3">
      <c r="A36" s="2" t="s">
        <v>565</v>
      </c>
      <c r="B36" s="2">
        <v>1507.1</v>
      </c>
    </row>
    <row r="37" spans="1:2" x14ac:dyDescent="0.3">
      <c r="A37" s="2" t="s">
        <v>155</v>
      </c>
      <c r="B37" s="2">
        <v>1506.7</v>
      </c>
    </row>
    <row r="38" spans="1:2" x14ac:dyDescent="0.3">
      <c r="A38" s="2" t="s">
        <v>277</v>
      </c>
      <c r="B38" s="2">
        <v>1505</v>
      </c>
    </row>
    <row r="39" spans="1:2" x14ac:dyDescent="0.3">
      <c r="A39" s="2" t="s">
        <v>283</v>
      </c>
      <c r="B39" s="2">
        <v>1504.7</v>
      </c>
    </row>
    <row r="40" spans="1:2" x14ac:dyDescent="0.3">
      <c r="A40" s="2" t="s">
        <v>379</v>
      </c>
      <c r="B40" s="2">
        <v>1502.1</v>
      </c>
    </row>
    <row r="41" spans="1:2" x14ac:dyDescent="0.3">
      <c r="A41" s="2" t="s">
        <v>279</v>
      </c>
      <c r="B41" s="2">
        <v>1500.7</v>
      </c>
    </row>
    <row r="42" spans="1:2" x14ac:dyDescent="0.3">
      <c r="A42" s="2" t="s">
        <v>153</v>
      </c>
      <c r="B42" s="2">
        <v>1500.3</v>
      </c>
    </row>
    <row r="43" spans="1:2" x14ac:dyDescent="0.3">
      <c r="A43" s="2" t="s">
        <v>127</v>
      </c>
      <c r="B43" s="2">
        <v>1499.3</v>
      </c>
    </row>
    <row r="44" spans="1:2" x14ac:dyDescent="0.3">
      <c r="A44" s="2" t="s">
        <v>106</v>
      </c>
      <c r="B44" s="2">
        <v>1499.2</v>
      </c>
    </row>
    <row r="45" spans="1:2" x14ac:dyDescent="0.3">
      <c r="A45" s="2" t="s">
        <v>112</v>
      </c>
      <c r="B45" s="2">
        <v>1498.2</v>
      </c>
    </row>
    <row r="46" spans="1:2" x14ac:dyDescent="0.3">
      <c r="A46" s="2" t="s">
        <v>112</v>
      </c>
      <c r="B46" s="2">
        <v>1498.2</v>
      </c>
    </row>
    <row r="47" spans="1:2" x14ac:dyDescent="0.3">
      <c r="A47" s="2" t="s">
        <v>145</v>
      </c>
      <c r="B47" s="2">
        <v>1497.6</v>
      </c>
    </row>
    <row r="48" spans="1:2" x14ac:dyDescent="0.3">
      <c r="A48" s="2" t="s">
        <v>147</v>
      </c>
      <c r="B48" s="2">
        <v>1496.8</v>
      </c>
    </row>
    <row r="49" spans="1:2" x14ac:dyDescent="0.3">
      <c r="A49" s="2" t="s">
        <v>277</v>
      </c>
      <c r="B49" s="2">
        <v>1496.5</v>
      </c>
    </row>
    <row r="50" spans="1:2" x14ac:dyDescent="0.3">
      <c r="A50" s="2" t="s">
        <v>123</v>
      </c>
      <c r="B50" s="2">
        <v>1496.4</v>
      </c>
    </row>
    <row r="51" spans="1:2" x14ac:dyDescent="0.3">
      <c r="A51" s="2" t="s">
        <v>143</v>
      </c>
      <c r="B51" s="2">
        <v>1495.8</v>
      </c>
    </row>
    <row r="52" spans="1:2" x14ac:dyDescent="0.3">
      <c r="A52" s="2" t="s">
        <v>100</v>
      </c>
      <c r="B52" s="2">
        <v>1495.8</v>
      </c>
    </row>
    <row r="53" spans="1:2" x14ac:dyDescent="0.3">
      <c r="A53" s="2" t="s">
        <v>133</v>
      </c>
      <c r="B53" s="2">
        <v>1493.4</v>
      </c>
    </row>
    <row r="54" spans="1:2" x14ac:dyDescent="0.3">
      <c r="A54" s="2" t="s">
        <v>277</v>
      </c>
      <c r="B54" s="2">
        <v>1492.5</v>
      </c>
    </row>
    <row r="55" spans="1:2" x14ac:dyDescent="0.3">
      <c r="A55" s="2" t="s">
        <v>159</v>
      </c>
      <c r="B55" s="2">
        <v>1492.2</v>
      </c>
    </row>
    <row r="56" spans="1:2" x14ac:dyDescent="0.3">
      <c r="A56" s="2" t="s">
        <v>111</v>
      </c>
      <c r="B56" s="2">
        <v>1490.8</v>
      </c>
    </row>
    <row r="57" spans="1:2" x14ac:dyDescent="0.3">
      <c r="A57" s="2" t="s">
        <v>137</v>
      </c>
      <c r="B57" s="2">
        <v>1489.9</v>
      </c>
    </row>
    <row r="58" spans="1:2" x14ac:dyDescent="0.3">
      <c r="A58" s="2" t="s">
        <v>390</v>
      </c>
      <c r="B58" s="2">
        <v>1489</v>
      </c>
    </row>
    <row r="59" spans="1:2" x14ac:dyDescent="0.3">
      <c r="A59" s="2" t="s">
        <v>96</v>
      </c>
      <c r="B59" s="2">
        <v>1488.8</v>
      </c>
    </row>
    <row r="60" spans="1:2" x14ac:dyDescent="0.3">
      <c r="A60" s="2" t="s">
        <v>376</v>
      </c>
      <c r="B60" s="2">
        <v>1488.4</v>
      </c>
    </row>
    <row r="61" spans="1:2" x14ac:dyDescent="0.3">
      <c r="A61" s="2" t="s">
        <v>389</v>
      </c>
      <c r="B61" s="2">
        <v>1487.4</v>
      </c>
    </row>
    <row r="62" spans="1:2" x14ac:dyDescent="0.3">
      <c r="A62" s="2" t="s">
        <v>381</v>
      </c>
      <c r="B62" s="2">
        <v>1485.4</v>
      </c>
    </row>
    <row r="63" spans="1:2" x14ac:dyDescent="0.3">
      <c r="A63" s="2" t="s">
        <v>91</v>
      </c>
      <c r="B63" s="2">
        <v>1483.6</v>
      </c>
    </row>
    <row r="64" spans="1:2" x14ac:dyDescent="0.3">
      <c r="A64" s="2" t="s">
        <v>106</v>
      </c>
      <c r="B64" s="2">
        <v>1481</v>
      </c>
    </row>
    <row r="65" spans="1:2" x14ac:dyDescent="0.3">
      <c r="A65" s="2" t="s">
        <v>131</v>
      </c>
      <c r="B65" s="2">
        <v>1480.1</v>
      </c>
    </row>
    <row r="66" spans="1:2" x14ac:dyDescent="0.3">
      <c r="A66" s="2" t="s">
        <v>378</v>
      </c>
      <c r="B66" s="2">
        <v>1476.9</v>
      </c>
    </row>
    <row r="67" spans="1:2" x14ac:dyDescent="0.3">
      <c r="A67" s="2" t="s">
        <v>156</v>
      </c>
      <c r="B67" s="2">
        <v>1475.7</v>
      </c>
    </row>
    <row r="68" spans="1:2" x14ac:dyDescent="0.3">
      <c r="A68" s="2" t="s">
        <v>92</v>
      </c>
      <c r="B68" s="2">
        <v>1475.4</v>
      </c>
    </row>
    <row r="69" spans="1:2" x14ac:dyDescent="0.3">
      <c r="A69" s="2" t="s">
        <v>122</v>
      </c>
      <c r="B69" s="2">
        <v>1474.8</v>
      </c>
    </row>
    <row r="70" spans="1:2" x14ac:dyDescent="0.3">
      <c r="A70" s="2" t="s">
        <v>98</v>
      </c>
      <c r="B70" s="2">
        <v>1473.8</v>
      </c>
    </row>
    <row r="71" spans="1:2" x14ac:dyDescent="0.3">
      <c r="A71" s="2" t="s">
        <v>100</v>
      </c>
      <c r="B71" s="2">
        <v>1473.3</v>
      </c>
    </row>
    <row r="72" spans="1:2" x14ac:dyDescent="0.3">
      <c r="A72" s="2" t="s">
        <v>159</v>
      </c>
      <c r="B72" s="2">
        <v>1472.9</v>
      </c>
    </row>
    <row r="73" spans="1:2" x14ac:dyDescent="0.3">
      <c r="A73" s="2" t="s">
        <v>395</v>
      </c>
      <c r="B73" s="2">
        <v>1471.3</v>
      </c>
    </row>
    <row r="74" spans="1:2" x14ac:dyDescent="0.3">
      <c r="A74" s="2" t="s">
        <v>292</v>
      </c>
      <c r="B74" s="2">
        <v>1471.2</v>
      </c>
    </row>
    <row r="75" spans="1:2" x14ac:dyDescent="0.3">
      <c r="A75" s="2" t="s">
        <v>294</v>
      </c>
      <c r="B75" s="2">
        <v>1469.1</v>
      </c>
    </row>
    <row r="76" spans="1:2" x14ac:dyDescent="0.3">
      <c r="A76" s="2" t="s">
        <v>563</v>
      </c>
      <c r="B76" s="2">
        <v>1463.1</v>
      </c>
    </row>
    <row r="77" spans="1:2" x14ac:dyDescent="0.3">
      <c r="A77" s="2" t="s">
        <v>564</v>
      </c>
      <c r="B77" s="2">
        <v>1462</v>
      </c>
    </row>
    <row r="78" spans="1:2" x14ac:dyDescent="0.3">
      <c r="A78" s="2" t="s">
        <v>389</v>
      </c>
      <c r="B78" s="2">
        <v>1461.4</v>
      </c>
    </row>
    <row r="79" spans="1:2" x14ac:dyDescent="0.3">
      <c r="A79" s="2" t="s">
        <v>281</v>
      </c>
      <c r="B79" s="2">
        <v>1461.4</v>
      </c>
    </row>
    <row r="80" spans="1:2" x14ac:dyDescent="0.3">
      <c r="A80" s="2" t="s">
        <v>102</v>
      </c>
      <c r="B80" s="2">
        <v>1460.6</v>
      </c>
    </row>
    <row r="81" spans="1:2" x14ac:dyDescent="0.3">
      <c r="A81" s="2" t="s">
        <v>380</v>
      </c>
      <c r="B81" s="2">
        <v>1456.8</v>
      </c>
    </row>
    <row r="82" spans="1:2" x14ac:dyDescent="0.3">
      <c r="A82" s="2" t="s">
        <v>142</v>
      </c>
      <c r="B82" s="2">
        <v>1454.1</v>
      </c>
    </row>
    <row r="83" spans="1:2" x14ac:dyDescent="0.3">
      <c r="A83" s="2" t="s">
        <v>566</v>
      </c>
      <c r="B83" s="2">
        <v>1453.5</v>
      </c>
    </row>
    <row r="84" spans="1:2" x14ac:dyDescent="0.3">
      <c r="A84" s="2" t="s">
        <v>290</v>
      </c>
      <c r="B84" s="2">
        <v>1453.3</v>
      </c>
    </row>
    <row r="85" spans="1:2" x14ac:dyDescent="0.3">
      <c r="A85" s="2" t="s">
        <v>392</v>
      </c>
      <c r="B85" s="2">
        <v>1453.2</v>
      </c>
    </row>
    <row r="86" spans="1:2" x14ac:dyDescent="0.3">
      <c r="A86" s="2" t="s">
        <v>280</v>
      </c>
      <c r="B86" s="2">
        <v>1451.3</v>
      </c>
    </row>
    <row r="87" spans="1:2" x14ac:dyDescent="0.3">
      <c r="A87" s="2" t="s">
        <v>567</v>
      </c>
      <c r="B87" s="2">
        <v>1450</v>
      </c>
    </row>
    <row r="88" spans="1:2" x14ac:dyDescent="0.3">
      <c r="A88" s="2" t="s">
        <v>168</v>
      </c>
      <c r="B88" s="2">
        <v>1449.6</v>
      </c>
    </row>
    <row r="89" spans="1:2" x14ac:dyDescent="0.3">
      <c r="A89" s="2" t="s">
        <v>404</v>
      </c>
      <c r="B89" s="2">
        <v>1447.4</v>
      </c>
    </row>
    <row r="90" spans="1:2" x14ac:dyDescent="0.3">
      <c r="A90" s="2" t="s">
        <v>402</v>
      </c>
      <c r="B90" s="2">
        <v>1442.2</v>
      </c>
    </row>
    <row r="91" spans="1:2" x14ac:dyDescent="0.3">
      <c r="A91" s="2" t="s">
        <v>167</v>
      </c>
      <c r="B91" s="2">
        <v>1441.2</v>
      </c>
    </row>
    <row r="92" spans="1:2" x14ac:dyDescent="0.3">
      <c r="A92" s="2" t="s">
        <v>171</v>
      </c>
      <c r="B92" s="2">
        <v>1435.6</v>
      </c>
    </row>
    <row r="93" spans="1:2" x14ac:dyDescent="0.3">
      <c r="A93" s="2" t="s">
        <v>175</v>
      </c>
      <c r="B93" s="2">
        <v>1434.7</v>
      </c>
    </row>
    <row r="94" spans="1:2" x14ac:dyDescent="0.3">
      <c r="A94" s="2" t="s">
        <v>173</v>
      </c>
      <c r="B94" s="2">
        <v>1434</v>
      </c>
    </row>
    <row r="95" spans="1:2" x14ac:dyDescent="0.3">
      <c r="A95" s="2" t="s">
        <v>93</v>
      </c>
      <c r="B95" s="2">
        <v>1429.6</v>
      </c>
    </row>
    <row r="96" spans="1:2" x14ac:dyDescent="0.3">
      <c r="A96" s="2" t="s">
        <v>164</v>
      </c>
      <c r="B96" s="2">
        <v>1426</v>
      </c>
    </row>
    <row r="97" spans="1:2" x14ac:dyDescent="0.3">
      <c r="A97" s="2" t="s">
        <v>169</v>
      </c>
      <c r="B97" s="2">
        <v>1424</v>
      </c>
    </row>
    <row r="98" spans="1:2" x14ac:dyDescent="0.3">
      <c r="A98" s="2" t="s">
        <v>166</v>
      </c>
      <c r="B98" s="2">
        <v>1419.7</v>
      </c>
    </row>
    <row r="99" spans="1:2" x14ac:dyDescent="0.3">
      <c r="A99" s="2" t="s">
        <v>174</v>
      </c>
      <c r="B99" s="2">
        <v>1403.6</v>
      </c>
    </row>
    <row r="100" spans="1:2" x14ac:dyDescent="0.3">
      <c r="A100" s="2" t="s">
        <v>165</v>
      </c>
      <c r="B100" s="2">
        <v>1394.7</v>
      </c>
    </row>
    <row r="101" spans="1:2" x14ac:dyDescent="0.3">
      <c r="A101" s="2" t="s">
        <v>170</v>
      </c>
      <c r="B101" s="2">
        <v>1394</v>
      </c>
    </row>
    <row r="102" spans="1:2" x14ac:dyDescent="0.3">
      <c r="A102" s="2" t="s">
        <v>172</v>
      </c>
      <c r="B102" s="2">
        <v>1394</v>
      </c>
    </row>
    <row r="103" spans="1:2" x14ac:dyDescent="0.3">
      <c r="A103" s="2" t="s">
        <v>187</v>
      </c>
      <c r="B103" s="2">
        <v>1393.3</v>
      </c>
    </row>
    <row r="104" spans="1:2" x14ac:dyDescent="0.3">
      <c r="A104" s="2" t="s">
        <v>204</v>
      </c>
      <c r="B104" s="2">
        <v>1388.5</v>
      </c>
    </row>
    <row r="105" spans="1:2" x14ac:dyDescent="0.3">
      <c r="A105" s="2" t="s">
        <v>177</v>
      </c>
      <c r="B105" s="2">
        <v>1382.8</v>
      </c>
    </row>
    <row r="106" spans="1:2" x14ac:dyDescent="0.3">
      <c r="A106" s="2" t="s">
        <v>190</v>
      </c>
      <c r="B106" s="2">
        <v>1382.4</v>
      </c>
    </row>
    <row r="107" spans="1:2" x14ac:dyDescent="0.3">
      <c r="A107" s="2" t="s">
        <v>176</v>
      </c>
      <c r="B107" s="2">
        <v>1379</v>
      </c>
    </row>
    <row r="108" spans="1:2" x14ac:dyDescent="0.3">
      <c r="A108" s="2" t="s">
        <v>184</v>
      </c>
      <c r="B108" s="2">
        <v>1373.9</v>
      </c>
    </row>
    <row r="109" spans="1:2" x14ac:dyDescent="0.3">
      <c r="A109" s="2" t="s">
        <v>194</v>
      </c>
      <c r="B109" s="2">
        <v>1373.6</v>
      </c>
    </row>
    <row r="110" spans="1:2" x14ac:dyDescent="0.3">
      <c r="A110" s="2" t="s">
        <v>182</v>
      </c>
      <c r="B110" s="2">
        <v>1373.5</v>
      </c>
    </row>
    <row r="111" spans="1:2" x14ac:dyDescent="0.3">
      <c r="A111" s="2" t="s">
        <v>179</v>
      </c>
      <c r="B111" s="2">
        <v>1369.2</v>
      </c>
    </row>
    <row r="112" spans="1:2" x14ac:dyDescent="0.3">
      <c r="A112" s="2" t="s">
        <v>191</v>
      </c>
      <c r="B112" s="2">
        <v>1368.5</v>
      </c>
    </row>
    <row r="113" spans="1:2" x14ac:dyDescent="0.3">
      <c r="A113" s="2" t="s">
        <v>195</v>
      </c>
      <c r="B113" s="2">
        <v>1367.9</v>
      </c>
    </row>
    <row r="114" spans="1:2" x14ac:dyDescent="0.3">
      <c r="A114" s="2" t="s">
        <v>201</v>
      </c>
      <c r="B114" s="2">
        <v>1367.7</v>
      </c>
    </row>
    <row r="115" spans="1:2" x14ac:dyDescent="0.3">
      <c r="A115" s="2" t="s">
        <v>185</v>
      </c>
      <c r="B115" s="2">
        <v>1364.6</v>
      </c>
    </row>
    <row r="116" spans="1:2" x14ac:dyDescent="0.3">
      <c r="A116" s="2" t="s">
        <v>178</v>
      </c>
      <c r="B116" s="2">
        <v>1358.8</v>
      </c>
    </row>
    <row r="117" spans="1:2" x14ac:dyDescent="0.3">
      <c r="A117" s="2" t="s">
        <v>197</v>
      </c>
      <c r="B117" s="2">
        <v>1358.7</v>
      </c>
    </row>
    <row r="118" spans="1:2" x14ac:dyDescent="0.3">
      <c r="A118" s="2" t="s">
        <v>220</v>
      </c>
      <c r="B118" s="2">
        <v>1355</v>
      </c>
    </row>
    <row r="119" spans="1:2" x14ac:dyDescent="0.3">
      <c r="A119" s="2" t="s">
        <v>183</v>
      </c>
      <c r="B119" s="2">
        <v>1353.2</v>
      </c>
    </row>
    <row r="120" spans="1:2" x14ac:dyDescent="0.3">
      <c r="A120" s="2" t="s">
        <v>200</v>
      </c>
      <c r="B120" s="2">
        <v>1352.5</v>
      </c>
    </row>
    <row r="121" spans="1:2" x14ac:dyDescent="0.3">
      <c r="A121" s="2" t="s">
        <v>227</v>
      </c>
      <c r="B121" s="2">
        <v>1352</v>
      </c>
    </row>
    <row r="122" spans="1:2" x14ac:dyDescent="0.3">
      <c r="A122" s="2" t="s">
        <v>182</v>
      </c>
      <c r="B122" s="2">
        <v>1350.1</v>
      </c>
    </row>
    <row r="123" spans="1:2" x14ac:dyDescent="0.3">
      <c r="A123" s="2" t="s">
        <v>216</v>
      </c>
      <c r="B123" s="2">
        <v>1349.3</v>
      </c>
    </row>
    <row r="124" spans="1:2" x14ac:dyDescent="0.3">
      <c r="A124" s="2" t="s">
        <v>217</v>
      </c>
      <c r="B124" s="2">
        <v>1348.7</v>
      </c>
    </row>
    <row r="125" spans="1:2" x14ac:dyDescent="0.3">
      <c r="A125" s="2" t="s">
        <v>231</v>
      </c>
      <c r="B125" s="2">
        <v>1347.8</v>
      </c>
    </row>
    <row r="126" spans="1:2" x14ac:dyDescent="0.3">
      <c r="A126" s="2" t="s">
        <v>163</v>
      </c>
      <c r="B126" s="2">
        <v>1347.7</v>
      </c>
    </row>
    <row r="127" spans="1:2" x14ac:dyDescent="0.3">
      <c r="A127" s="2" t="s">
        <v>210</v>
      </c>
      <c r="B127" s="2">
        <v>1344.1</v>
      </c>
    </row>
    <row r="128" spans="1:2" x14ac:dyDescent="0.3">
      <c r="A128" s="2" t="s">
        <v>228</v>
      </c>
      <c r="B128" s="2">
        <v>1343.7</v>
      </c>
    </row>
    <row r="129" spans="1:2" x14ac:dyDescent="0.3">
      <c r="A129" s="2" t="s">
        <v>211</v>
      </c>
      <c r="B129" s="2">
        <v>1343.5</v>
      </c>
    </row>
    <row r="130" spans="1:2" x14ac:dyDescent="0.3">
      <c r="A130" s="2" t="s">
        <v>218</v>
      </c>
      <c r="B130" s="2">
        <v>1342.1</v>
      </c>
    </row>
    <row r="131" spans="1:2" x14ac:dyDescent="0.3">
      <c r="A131" s="2" t="s">
        <v>209</v>
      </c>
      <c r="B131" s="2">
        <v>1340.1</v>
      </c>
    </row>
    <row r="132" spans="1:2" x14ac:dyDescent="0.3">
      <c r="A132" s="2" t="s">
        <v>218</v>
      </c>
      <c r="B132" s="2">
        <v>1339</v>
      </c>
    </row>
    <row r="133" spans="1:2" x14ac:dyDescent="0.3">
      <c r="A133" s="2" t="s">
        <v>202</v>
      </c>
      <c r="B133" s="2">
        <v>1338.1</v>
      </c>
    </row>
    <row r="134" spans="1:2" x14ac:dyDescent="0.3">
      <c r="A134" s="2" t="s">
        <v>198</v>
      </c>
      <c r="B134" s="2">
        <v>1337.8</v>
      </c>
    </row>
    <row r="135" spans="1:2" x14ac:dyDescent="0.3">
      <c r="A135" s="2" t="s">
        <v>222</v>
      </c>
      <c r="B135" s="2">
        <v>1337.2</v>
      </c>
    </row>
    <row r="136" spans="1:2" x14ac:dyDescent="0.3">
      <c r="A136" s="2" t="s">
        <v>188</v>
      </c>
      <c r="B136" s="2">
        <v>1335.6</v>
      </c>
    </row>
    <row r="137" spans="1:2" x14ac:dyDescent="0.3">
      <c r="A137" s="2" t="s">
        <v>199</v>
      </c>
      <c r="B137" s="2">
        <v>1334.5</v>
      </c>
    </row>
    <row r="138" spans="1:2" x14ac:dyDescent="0.3">
      <c r="A138" s="2" t="s">
        <v>205</v>
      </c>
      <c r="B138" s="2">
        <v>1334.3</v>
      </c>
    </row>
    <row r="139" spans="1:2" x14ac:dyDescent="0.3">
      <c r="A139" s="2" t="s">
        <v>224</v>
      </c>
      <c r="B139" s="2">
        <v>1334.1</v>
      </c>
    </row>
    <row r="140" spans="1:2" x14ac:dyDescent="0.3">
      <c r="A140" s="2" t="s">
        <v>180</v>
      </c>
      <c r="B140" s="2">
        <v>1332.7</v>
      </c>
    </row>
    <row r="141" spans="1:2" x14ac:dyDescent="0.3">
      <c r="A141" s="2" t="s">
        <v>225</v>
      </c>
      <c r="B141" s="2">
        <v>1332.6</v>
      </c>
    </row>
    <row r="142" spans="1:2" x14ac:dyDescent="0.3">
      <c r="A142" s="2" t="s">
        <v>181</v>
      </c>
      <c r="B142" s="2">
        <v>1331.9</v>
      </c>
    </row>
    <row r="143" spans="1:2" x14ac:dyDescent="0.3">
      <c r="A143" s="2" t="s">
        <v>208</v>
      </c>
      <c r="B143" s="2">
        <v>1329.9</v>
      </c>
    </row>
    <row r="144" spans="1:2" x14ac:dyDescent="0.3">
      <c r="A144" s="2" t="s">
        <v>186</v>
      </c>
      <c r="B144" s="2">
        <v>1329.2</v>
      </c>
    </row>
    <row r="145" spans="1:2" x14ac:dyDescent="0.3">
      <c r="A145" s="2" t="s">
        <v>193</v>
      </c>
      <c r="B145" s="2">
        <v>1328.9</v>
      </c>
    </row>
    <row r="146" spans="1:2" x14ac:dyDescent="0.3">
      <c r="A146" s="2" t="s">
        <v>221</v>
      </c>
      <c r="B146" s="2">
        <v>1328.4</v>
      </c>
    </row>
    <row r="147" spans="1:2" x14ac:dyDescent="0.3">
      <c r="A147" s="2" t="s">
        <v>192</v>
      </c>
      <c r="B147" s="2">
        <v>1327.1</v>
      </c>
    </row>
    <row r="148" spans="1:2" x14ac:dyDescent="0.3">
      <c r="A148" s="2" t="s">
        <v>189</v>
      </c>
      <c r="B148" s="2">
        <v>1326.5</v>
      </c>
    </row>
    <row r="149" spans="1:2" x14ac:dyDescent="0.3">
      <c r="A149" s="2" t="s">
        <v>223</v>
      </c>
      <c r="B149" s="2">
        <v>1322.6</v>
      </c>
    </row>
    <row r="150" spans="1:2" x14ac:dyDescent="0.3">
      <c r="A150" s="2" t="s">
        <v>229</v>
      </c>
      <c r="B150" s="2">
        <v>1321.3</v>
      </c>
    </row>
    <row r="151" spans="1:2" x14ac:dyDescent="0.3">
      <c r="A151" s="2" t="s">
        <v>225</v>
      </c>
      <c r="B151" s="2">
        <v>1320.9</v>
      </c>
    </row>
    <row r="152" spans="1:2" x14ac:dyDescent="0.3">
      <c r="A152" s="2" t="s">
        <v>226</v>
      </c>
      <c r="B152" s="2">
        <v>1319.9</v>
      </c>
    </row>
    <row r="153" spans="1:2" x14ac:dyDescent="0.3">
      <c r="A153" s="2" t="s">
        <v>203</v>
      </c>
      <c r="B153" s="2">
        <v>1317.8</v>
      </c>
    </row>
    <row r="154" spans="1:2" x14ac:dyDescent="0.3">
      <c r="A154" s="2" t="s">
        <v>232</v>
      </c>
      <c r="B154" s="2">
        <v>1317.7</v>
      </c>
    </row>
    <row r="155" spans="1:2" x14ac:dyDescent="0.3">
      <c r="A155" s="2" t="s">
        <v>226</v>
      </c>
      <c r="B155" s="2">
        <v>1317</v>
      </c>
    </row>
    <row r="156" spans="1:2" x14ac:dyDescent="0.3">
      <c r="A156" s="2" t="s">
        <v>219</v>
      </c>
      <c r="B156" s="2">
        <v>1316.4</v>
      </c>
    </row>
    <row r="157" spans="1:2" x14ac:dyDescent="0.3">
      <c r="A157" s="2" t="s">
        <v>196</v>
      </c>
      <c r="B157" s="2">
        <v>1314.7</v>
      </c>
    </row>
    <row r="158" spans="1:2" x14ac:dyDescent="0.3">
      <c r="A158" s="2" t="s">
        <v>215</v>
      </c>
      <c r="B158" s="2">
        <v>1313.8</v>
      </c>
    </row>
    <row r="159" spans="1:2" x14ac:dyDescent="0.3">
      <c r="A159" s="2" t="s">
        <v>247</v>
      </c>
      <c r="B159" s="2">
        <v>1313.2</v>
      </c>
    </row>
    <row r="160" spans="1:2" x14ac:dyDescent="0.3">
      <c r="A160" s="2" t="s">
        <v>234</v>
      </c>
      <c r="B160" s="2">
        <v>1311.1</v>
      </c>
    </row>
    <row r="161" spans="1:3" x14ac:dyDescent="0.3">
      <c r="A161" s="2" t="s">
        <v>207</v>
      </c>
      <c r="B161" s="2">
        <v>1310.5</v>
      </c>
    </row>
    <row r="162" spans="1:3" x14ac:dyDescent="0.3">
      <c r="A162" s="2" t="s">
        <v>237</v>
      </c>
      <c r="B162" s="2">
        <v>1310.2</v>
      </c>
    </row>
    <row r="163" spans="1:3" x14ac:dyDescent="0.3">
      <c r="A163" s="2" t="s">
        <v>206</v>
      </c>
      <c r="B163" s="2">
        <v>1310</v>
      </c>
    </row>
    <row r="164" spans="1:3" x14ac:dyDescent="0.3">
      <c r="A164" s="2" t="s">
        <v>248</v>
      </c>
      <c r="B164" s="2">
        <v>1309.5999999999999</v>
      </c>
    </row>
    <row r="165" spans="1:3" x14ac:dyDescent="0.3">
      <c r="A165" s="2" t="s">
        <v>219</v>
      </c>
      <c r="B165" s="2">
        <v>1309.2</v>
      </c>
    </row>
    <row r="166" spans="1:3" x14ac:dyDescent="0.3">
      <c r="A166" s="2" t="s">
        <v>225</v>
      </c>
      <c r="B166" s="2">
        <v>1306.5999999999999</v>
      </c>
    </row>
    <row r="167" spans="1:3" x14ac:dyDescent="0.3">
      <c r="A167" s="2" t="s">
        <v>213</v>
      </c>
      <c r="B167" s="2">
        <v>1306.2</v>
      </c>
    </row>
    <row r="168" spans="1:3" x14ac:dyDescent="0.3">
      <c r="A168" s="2" t="s">
        <v>236</v>
      </c>
      <c r="B168" s="2">
        <v>1306.2</v>
      </c>
    </row>
    <row r="169" spans="1:3" x14ac:dyDescent="0.3">
      <c r="A169" s="2" t="s">
        <v>214</v>
      </c>
      <c r="B169" s="2">
        <v>1304.2</v>
      </c>
    </row>
    <row r="170" spans="1:3" x14ac:dyDescent="0.3">
      <c r="A170" s="2" t="s">
        <v>239</v>
      </c>
      <c r="B170" s="2">
        <v>1304</v>
      </c>
    </row>
    <row r="171" spans="1:3" x14ac:dyDescent="0.3">
      <c r="A171" s="2" t="s">
        <v>250</v>
      </c>
      <c r="B171" s="2">
        <v>1302</v>
      </c>
    </row>
    <row r="172" spans="1:3" x14ac:dyDescent="0.3">
      <c r="A172" s="2" t="s">
        <v>217</v>
      </c>
      <c r="B172" s="2">
        <v>1300.5999999999999</v>
      </c>
    </row>
    <row r="173" spans="1:3" x14ac:dyDescent="0.3">
      <c r="A173" s="2" t="s">
        <v>260</v>
      </c>
      <c r="B173" s="2">
        <v>1300</v>
      </c>
      <c r="C173" t="s">
        <v>161</v>
      </c>
    </row>
    <row r="174" spans="1:3" x14ac:dyDescent="0.3">
      <c r="A174" s="2" t="s">
        <v>209</v>
      </c>
      <c r="B174" s="2">
        <v>1298.8</v>
      </c>
    </row>
    <row r="175" spans="1:3" x14ac:dyDescent="0.3">
      <c r="A175" s="2" t="s">
        <v>244</v>
      </c>
      <c r="B175" s="2">
        <v>1298.5999999999999</v>
      </c>
    </row>
    <row r="176" spans="1:3" x14ac:dyDescent="0.3">
      <c r="A176" s="2" t="s">
        <v>252</v>
      </c>
      <c r="B176" s="2">
        <v>1297.3</v>
      </c>
    </row>
    <row r="177" spans="1:4" x14ac:dyDescent="0.3">
      <c r="A177" s="2" t="s">
        <v>212</v>
      </c>
      <c r="B177" s="2">
        <v>1297.0999999999999</v>
      </c>
    </row>
    <row r="178" spans="1:4" x14ac:dyDescent="0.3">
      <c r="A178" s="2" t="s">
        <v>241</v>
      </c>
      <c r="B178" s="2">
        <v>1296</v>
      </c>
    </row>
    <row r="179" spans="1:4" x14ac:dyDescent="0.3">
      <c r="A179" s="2" t="s">
        <v>238</v>
      </c>
      <c r="B179" s="2">
        <v>1292.8</v>
      </c>
    </row>
    <row r="180" spans="1:4" x14ac:dyDescent="0.3">
      <c r="A180" s="2" t="s">
        <v>233</v>
      </c>
      <c r="B180" s="2">
        <v>1291.5</v>
      </c>
    </row>
    <row r="181" spans="1:4" x14ac:dyDescent="0.3">
      <c r="A181" s="2" t="s">
        <v>251</v>
      </c>
      <c r="B181" s="2">
        <v>1290.5</v>
      </c>
    </row>
    <row r="182" spans="1:4" x14ac:dyDescent="0.3">
      <c r="A182" s="2" t="s">
        <v>260</v>
      </c>
      <c r="B182" s="2">
        <v>1290.2</v>
      </c>
    </row>
    <row r="183" spans="1:4" x14ac:dyDescent="0.3">
      <c r="A183" s="2" t="s">
        <v>249</v>
      </c>
      <c r="B183" s="2">
        <v>1290.0999999999999</v>
      </c>
      <c r="D183" t="s">
        <v>161</v>
      </c>
    </row>
    <row r="184" spans="1:4" x14ac:dyDescent="0.3">
      <c r="A184" s="2" t="s">
        <v>235</v>
      </c>
      <c r="B184" s="2">
        <v>1289.2</v>
      </c>
    </row>
    <row r="185" spans="1:4" x14ac:dyDescent="0.3">
      <c r="A185" s="2" t="s">
        <v>261</v>
      </c>
      <c r="B185" s="2">
        <v>1283.5999999999999</v>
      </c>
    </row>
    <row r="186" spans="1:4" x14ac:dyDescent="0.3">
      <c r="A186" s="2" t="s">
        <v>230</v>
      </c>
      <c r="B186" s="2">
        <v>1283.3</v>
      </c>
      <c r="C186" t="s">
        <v>161</v>
      </c>
    </row>
    <row r="187" spans="1:4" x14ac:dyDescent="0.3">
      <c r="A187" s="2" t="s">
        <v>254</v>
      </c>
      <c r="B187" s="2">
        <v>1282.5999999999999</v>
      </c>
      <c r="C187" t="s">
        <v>161</v>
      </c>
    </row>
    <row r="188" spans="1:4" x14ac:dyDescent="0.3">
      <c r="A188" s="2" t="s">
        <v>262</v>
      </c>
      <c r="B188" s="2">
        <v>1282.3</v>
      </c>
    </row>
    <row r="189" spans="1:4" x14ac:dyDescent="0.3">
      <c r="A189" s="2" t="s">
        <v>240</v>
      </c>
      <c r="B189" s="2">
        <v>1282.2</v>
      </c>
    </row>
    <row r="190" spans="1:4" x14ac:dyDescent="0.3">
      <c r="A190" s="2" t="s">
        <v>258</v>
      </c>
      <c r="B190" s="2">
        <v>1280.5</v>
      </c>
    </row>
    <row r="191" spans="1:4" x14ac:dyDescent="0.3">
      <c r="A191" s="2" t="s">
        <v>261</v>
      </c>
      <c r="B191" s="2">
        <v>1279.0999999999999</v>
      </c>
    </row>
    <row r="192" spans="1:4" x14ac:dyDescent="0.3">
      <c r="A192" s="2" t="s">
        <v>257</v>
      </c>
      <c r="B192" s="2">
        <v>1275.7</v>
      </c>
    </row>
    <row r="193" spans="1:2" x14ac:dyDescent="0.3">
      <c r="A193" s="2" t="s">
        <v>259</v>
      </c>
      <c r="B193" s="2">
        <v>1271.4000000000001</v>
      </c>
    </row>
    <row r="194" spans="1:2" x14ac:dyDescent="0.3">
      <c r="A194" s="2" t="s">
        <v>243</v>
      </c>
      <c r="B194" s="2">
        <v>1271.2</v>
      </c>
    </row>
    <row r="195" spans="1:2" x14ac:dyDescent="0.3">
      <c r="A195" s="2" t="s">
        <v>245</v>
      </c>
      <c r="B195" s="2">
        <v>1268.5999999999999</v>
      </c>
    </row>
    <row r="196" spans="1:2" x14ac:dyDescent="0.3">
      <c r="A196" s="2" t="s">
        <v>271</v>
      </c>
      <c r="B196" s="2">
        <v>1265</v>
      </c>
    </row>
    <row r="197" spans="1:2" x14ac:dyDescent="0.3">
      <c r="A197" s="2" t="s">
        <v>242</v>
      </c>
      <c r="B197" s="2">
        <v>1263.9000000000001</v>
      </c>
    </row>
    <row r="198" spans="1:2" x14ac:dyDescent="0.3">
      <c r="A198" s="2" t="s">
        <v>259</v>
      </c>
      <c r="B198" s="2">
        <v>1263</v>
      </c>
    </row>
    <row r="199" spans="1:2" x14ac:dyDescent="0.3">
      <c r="A199" s="2" t="s">
        <v>265</v>
      </c>
      <c r="B199" s="2">
        <v>1260.5</v>
      </c>
    </row>
    <row r="200" spans="1:2" x14ac:dyDescent="0.3">
      <c r="A200" s="2" t="s">
        <v>266</v>
      </c>
      <c r="B200" s="2">
        <v>1256.7</v>
      </c>
    </row>
    <row r="201" spans="1:2" x14ac:dyDescent="0.3">
      <c r="A201" s="2" t="s">
        <v>253</v>
      </c>
      <c r="B201" s="2">
        <v>1256</v>
      </c>
    </row>
    <row r="202" spans="1:2" x14ac:dyDescent="0.3">
      <c r="A202" s="2" t="s">
        <v>267</v>
      </c>
      <c r="B202" s="2">
        <v>1255.2</v>
      </c>
    </row>
    <row r="203" spans="1:2" x14ac:dyDescent="0.3">
      <c r="A203" s="2" t="s">
        <v>268</v>
      </c>
      <c r="B203" s="2">
        <v>1253.5999999999999</v>
      </c>
    </row>
    <row r="204" spans="1:2" x14ac:dyDescent="0.3">
      <c r="A204" s="2" t="s">
        <v>270</v>
      </c>
      <c r="B204" s="2">
        <v>1251.7</v>
      </c>
    </row>
    <row r="205" spans="1:2" x14ac:dyDescent="0.3">
      <c r="A205" s="2" t="s">
        <v>271</v>
      </c>
      <c r="B205" s="2">
        <v>1250.5</v>
      </c>
    </row>
    <row r="206" spans="1:2" x14ac:dyDescent="0.3">
      <c r="A206" s="2" t="s">
        <v>269</v>
      </c>
      <c r="B206" s="2">
        <v>1249.2</v>
      </c>
    </row>
    <row r="207" spans="1:2" x14ac:dyDescent="0.3">
      <c r="A207" s="2" t="s">
        <v>271</v>
      </c>
      <c r="B207" s="2">
        <v>1247.9000000000001</v>
      </c>
    </row>
    <row r="208" spans="1:2" x14ac:dyDescent="0.3">
      <c r="A208" s="2" t="s">
        <v>255</v>
      </c>
      <c r="B208" s="2">
        <v>1242.3</v>
      </c>
    </row>
    <row r="209" spans="1:2" x14ac:dyDescent="0.3">
      <c r="A209" s="2" t="s">
        <v>271</v>
      </c>
      <c r="B209" s="2">
        <v>1239.2</v>
      </c>
    </row>
    <row r="210" spans="1:2" x14ac:dyDescent="0.3">
      <c r="A210" s="2" t="s">
        <v>274</v>
      </c>
      <c r="B210" s="2">
        <v>1233.5</v>
      </c>
    </row>
    <row r="211" spans="1:2" x14ac:dyDescent="0.3">
      <c r="A211" s="2" t="s">
        <v>256</v>
      </c>
      <c r="B211" s="2">
        <v>1231.5</v>
      </c>
    </row>
    <row r="212" spans="1:2" x14ac:dyDescent="0.3">
      <c r="A212" s="2" t="s">
        <v>353</v>
      </c>
      <c r="B212" s="2">
        <v>1230.7</v>
      </c>
    </row>
    <row r="213" spans="1:2" x14ac:dyDescent="0.3">
      <c r="A213" s="2" t="s">
        <v>273</v>
      </c>
      <c r="B213" s="2">
        <v>1230.3</v>
      </c>
    </row>
    <row r="214" spans="1:2" x14ac:dyDescent="0.3">
      <c r="A214" s="2" t="s">
        <v>264</v>
      </c>
      <c r="B214" s="2">
        <v>1226.7</v>
      </c>
    </row>
    <row r="215" spans="1:2" x14ac:dyDescent="0.3">
      <c r="A215" s="2" t="s">
        <v>246</v>
      </c>
      <c r="B215" s="2">
        <v>1225.5</v>
      </c>
    </row>
    <row r="216" spans="1:2" x14ac:dyDescent="0.3">
      <c r="A216" s="2" t="s">
        <v>258</v>
      </c>
      <c r="B216" s="2">
        <v>1224.5999999999999</v>
      </c>
    </row>
    <row r="217" spans="1:2" x14ac:dyDescent="0.3">
      <c r="A217" s="2" t="s">
        <v>272</v>
      </c>
      <c r="B217" s="2">
        <v>1224.5</v>
      </c>
    </row>
    <row r="218" spans="1:2" x14ac:dyDescent="0.3">
      <c r="A218" s="2" t="s">
        <v>460</v>
      </c>
      <c r="B218" s="2">
        <v>1217.7</v>
      </c>
    </row>
    <row r="219" spans="1:2" x14ac:dyDescent="0.3">
      <c r="A219" s="2" t="s">
        <v>263</v>
      </c>
      <c r="B219" s="2">
        <v>1211.3</v>
      </c>
    </row>
    <row r="220" spans="1:2" x14ac:dyDescent="0.3">
      <c r="A220" s="2" t="s">
        <v>488</v>
      </c>
      <c r="B220" s="2">
        <v>1200.2</v>
      </c>
    </row>
    <row r="221" spans="1:2" x14ac:dyDescent="0.3">
      <c r="A221" s="2" t="s">
        <v>275</v>
      </c>
      <c r="B221" s="2">
        <v>1196.4000000000001</v>
      </c>
    </row>
    <row r="222" spans="1:2" x14ac:dyDescent="0.3">
      <c r="A222" s="2" t="s">
        <v>460</v>
      </c>
      <c r="B222" s="2">
        <v>1176</v>
      </c>
    </row>
    <row r="223" spans="1:2" x14ac:dyDescent="0.3">
      <c r="A223" s="2" t="s">
        <v>460</v>
      </c>
      <c r="B223" s="2">
        <v>1175.5999999999999</v>
      </c>
    </row>
    <row r="224" spans="1:2" x14ac:dyDescent="0.3">
      <c r="A224" s="2" t="s">
        <v>460</v>
      </c>
      <c r="B224" s="2">
        <v>1171.5999999999999</v>
      </c>
    </row>
    <row r="225" spans="1:2" x14ac:dyDescent="0.3">
      <c r="A225" s="2" t="s">
        <v>448</v>
      </c>
      <c r="B225" s="2">
        <v>1169.9000000000001</v>
      </c>
    </row>
    <row r="226" spans="1:2" x14ac:dyDescent="0.3">
      <c r="A226" s="2" t="s">
        <v>448</v>
      </c>
      <c r="B226" s="2">
        <v>1162.7</v>
      </c>
    </row>
    <row r="227" spans="1:2" x14ac:dyDescent="0.3">
      <c r="A227" s="2" t="s">
        <v>460</v>
      </c>
      <c r="B227" s="2">
        <v>1145.5999999999999</v>
      </c>
    </row>
    <row r="228" spans="1:2" x14ac:dyDescent="0.3">
      <c r="A228" s="2" t="s">
        <v>460</v>
      </c>
      <c r="B228" s="2">
        <v>1138.7</v>
      </c>
    </row>
    <row r="229" spans="1:2" x14ac:dyDescent="0.3">
      <c r="A229" s="2" t="s">
        <v>500</v>
      </c>
      <c r="B229" s="2">
        <v>1136.9000000000001</v>
      </c>
    </row>
    <row r="230" spans="1:2" x14ac:dyDescent="0.3">
      <c r="A230" s="2" t="s">
        <v>271</v>
      </c>
      <c r="B230" s="2">
        <v>1126.0999999999999</v>
      </c>
    </row>
    <row r="231" spans="1:2" x14ac:dyDescent="0.3">
      <c r="A231" s="2" t="s">
        <v>475</v>
      </c>
      <c r="B231" s="2">
        <v>1125.9000000000001</v>
      </c>
    </row>
    <row r="232" spans="1:2" x14ac:dyDescent="0.3">
      <c r="A232" s="2" t="s">
        <v>271</v>
      </c>
      <c r="B232" s="2">
        <v>1123.8</v>
      </c>
    </row>
    <row r="233" spans="1:2" x14ac:dyDescent="0.3">
      <c r="A233" s="2" t="s">
        <v>500</v>
      </c>
      <c r="B233" s="2">
        <v>1121.7</v>
      </c>
    </row>
    <row r="234" spans="1:2" x14ac:dyDescent="0.3">
      <c r="A234" s="2" t="s">
        <v>500</v>
      </c>
      <c r="B234" s="2">
        <v>1111.7</v>
      </c>
    </row>
    <row r="235" spans="1:2" x14ac:dyDescent="0.3">
      <c r="A235" s="2" t="s">
        <v>475</v>
      </c>
      <c r="B235" s="2">
        <v>1109.5</v>
      </c>
    </row>
    <row r="236" spans="1:2" x14ac:dyDescent="0.3">
      <c r="A236" s="2" t="s">
        <v>488</v>
      </c>
      <c r="B236" s="2">
        <v>1096.4000000000001</v>
      </c>
    </row>
    <row r="237" spans="1:2" x14ac:dyDescent="0.3">
      <c r="A237" s="2" t="s">
        <v>522</v>
      </c>
      <c r="B237" s="2">
        <v>1036.7</v>
      </c>
    </row>
    <row r="238" spans="1:2" x14ac:dyDescent="0.3">
      <c r="A238" s="2" t="s">
        <v>521</v>
      </c>
      <c r="B238" s="2">
        <v>1024.7</v>
      </c>
    </row>
    <row r="239" spans="1:2" x14ac:dyDescent="0.3">
      <c r="A239" s="2" t="s">
        <v>527</v>
      </c>
      <c r="B239" s="2">
        <v>1016.1</v>
      </c>
    </row>
    <row r="240" spans="1:2" x14ac:dyDescent="0.3">
      <c r="A240" s="2" t="s">
        <v>532</v>
      </c>
      <c r="B240" s="2">
        <v>1014.7</v>
      </c>
    </row>
    <row r="241" spans="1:2" x14ac:dyDescent="0.3">
      <c r="A241" s="2" t="s">
        <v>521</v>
      </c>
      <c r="B241" s="2">
        <v>1007.2</v>
      </c>
    </row>
    <row r="242" spans="1:2" x14ac:dyDescent="0.3">
      <c r="A242" s="2" t="s">
        <v>520</v>
      </c>
      <c r="B242" s="2">
        <v>1001.3</v>
      </c>
    </row>
    <row r="243" spans="1:2" x14ac:dyDescent="0.3">
      <c r="A243" s="2" t="s">
        <v>504</v>
      </c>
      <c r="B243" s="2">
        <v>999.6</v>
      </c>
    </row>
    <row r="244" spans="1:2" x14ac:dyDescent="0.3">
      <c r="A244" s="2" t="s">
        <v>504</v>
      </c>
      <c r="B244" s="2">
        <v>999.1</v>
      </c>
    </row>
    <row r="245" spans="1:2" x14ac:dyDescent="0.3">
      <c r="A245" s="2" t="s">
        <v>515</v>
      </c>
      <c r="B245" s="2">
        <v>998.7</v>
      </c>
    </row>
    <row r="246" spans="1:2" x14ac:dyDescent="0.3">
      <c r="A246" s="2" t="s">
        <v>548</v>
      </c>
      <c r="B246" s="2">
        <v>997.4</v>
      </c>
    </row>
    <row r="247" spans="1:2" x14ac:dyDescent="0.3">
      <c r="A247" s="2" t="s">
        <v>504</v>
      </c>
      <c r="B247" s="2">
        <v>994</v>
      </c>
    </row>
    <row r="248" spans="1:2" x14ac:dyDescent="0.3">
      <c r="A248" s="2" t="s">
        <v>522</v>
      </c>
      <c r="B248" s="2">
        <v>985.3</v>
      </c>
    </row>
    <row r="249" spans="1:2" x14ac:dyDescent="0.3">
      <c r="A249" s="2" t="s">
        <v>527</v>
      </c>
      <c r="B249" s="2">
        <v>982.6</v>
      </c>
    </row>
    <row r="250" spans="1:2" x14ac:dyDescent="0.3">
      <c r="A250" s="2" t="s">
        <v>540</v>
      </c>
      <c r="B250" s="2">
        <v>975</v>
      </c>
    </row>
    <row r="251" spans="1:2" x14ac:dyDescent="0.3">
      <c r="A251" s="2" t="s">
        <v>532</v>
      </c>
      <c r="B251" s="2">
        <v>970.3</v>
      </c>
    </row>
    <row r="252" spans="1:2" x14ac:dyDescent="0.3">
      <c r="A252" s="2" t="s">
        <v>518</v>
      </c>
      <c r="B252" s="2">
        <v>967.4</v>
      </c>
    </row>
    <row r="253" spans="1:2" x14ac:dyDescent="0.3">
      <c r="A253" s="2" t="s">
        <v>521</v>
      </c>
      <c r="B253" s="2">
        <v>967.1</v>
      </c>
    </row>
    <row r="254" spans="1:2" x14ac:dyDescent="0.3">
      <c r="A254" s="2" t="s">
        <v>532</v>
      </c>
      <c r="B254" s="2">
        <v>966.1</v>
      </c>
    </row>
    <row r="255" spans="1:2" x14ac:dyDescent="0.3">
      <c r="A255" s="2" t="s">
        <v>539</v>
      </c>
      <c r="B255" s="2">
        <v>956.4</v>
      </c>
    </row>
    <row r="256" spans="1:2" x14ac:dyDescent="0.3">
      <c r="A256" s="2" t="s">
        <v>532</v>
      </c>
      <c r="B256" s="2">
        <v>955.7</v>
      </c>
    </row>
    <row r="257" spans="1:2" x14ac:dyDescent="0.3">
      <c r="A257" s="2" t="s">
        <v>539</v>
      </c>
      <c r="B257" s="2">
        <v>955.2</v>
      </c>
    </row>
    <row r="258" spans="1:2" x14ac:dyDescent="0.3">
      <c r="A258" s="2" t="s">
        <v>516</v>
      </c>
      <c r="B258" s="2">
        <v>952.7</v>
      </c>
    </row>
    <row r="259" spans="1:2" x14ac:dyDescent="0.3">
      <c r="A259" s="2" t="s">
        <v>552</v>
      </c>
      <c r="B259" s="2">
        <v>948.5</v>
      </c>
    </row>
    <row r="260" spans="1:2" x14ac:dyDescent="0.3">
      <c r="A260" s="2" t="s">
        <v>517</v>
      </c>
      <c r="B260" s="2">
        <v>940.6</v>
      </c>
    </row>
    <row r="261" spans="1:2" x14ac:dyDescent="0.3">
      <c r="A261" s="2" t="s">
        <v>553</v>
      </c>
      <c r="B261" s="2">
        <v>919.7</v>
      </c>
    </row>
    <row r="262" spans="1:2" x14ac:dyDescent="0.3">
      <c r="A262" s="2" t="s">
        <v>540</v>
      </c>
      <c r="B262" s="2">
        <v>914.9</v>
      </c>
    </row>
    <row r="263" spans="1:2" x14ac:dyDescent="0.3">
      <c r="A263" s="2" t="s">
        <v>540</v>
      </c>
      <c r="B263" s="2">
        <v>911</v>
      </c>
    </row>
    <row r="264" spans="1:2" x14ac:dyDescent="0.3">
      <c r="A264" s="2" t="s">
        <v>547</v>
      </c>
      <c r="B264" s="2">
        <v>910</v>
      </c>
    </row>
    <row r="265" spans="1:2" x14ac:dyDescent="0.3">
      <c r="A265" s="2" t="s">
        <v>558</v>
      </c>
      <c r="B265" s="2">
        <v>888.7</v>
      </c>
    </row>
    <row r="266" spans="1:2" x14ac:dyDescent="0.3">
      <c r="A266" s="2" t="s">
        <v>518</v>
      </c>
      <c r="B266" s="2">
        <v>877</v>
      </c>
    </row>
    <row r="267" spans="1:2" x14ac:dyDescent="0.3">
      <c r="A267" s="2" t="s">
        <v>557</v>
      </c>
      <c r="B267" s="2">
        <v>871</v>
      </c>
    </row>
    <row r="268" spans="1:2" x14ac:dyDescent="0.3">
      <c r="A268" s="2" t="s">
        <v>555</v>
      </c>
      <c r="B268" s="2">
        <v>862.1</v>
      </c>
    </row>
    <row r="269" spans="1:2" x14ac:dyDescent="0.3">
      <c r="A269" s="2" t="s">
        <v>556</v>
      </c>
      <c r="B269" s="2">
        <v>851.2</v>
      </c>
    </row>
    <row r="270" spans="1:2" x14ac:dyDescent="0.3">
      <c r="A270" s="2" t="s">
        <v>554</v>
      </c>
      <c r="B270" s="2">
        <v>845.3</v>
      </c>
    </row>
    <row r="271" spans="1:2" x14ac:dyDescent="0.3">
      <c r="A271" s="2" t="s">
        <v>552</v>
      </c>
      <c r="B271" s="2">
        <v>771.2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9F636-9C0E-4EAC-9E7E-3A1BB50C05A5}">
  <sheetPr codeName="Sheet6"/>
  <dimension ref="A1:AL271"/>
  <sheetViews>
    <sheetView workbookViewId="0">
      <selection activeCell="B1" sqref="A1:B1048576"/>
    </sheetView>
  </sheetViews>
  <sheetFormatPr defaultRowHeight="14.4" x14ac:dyDescent="0.3"/>
  <cols>
    <col min="1" max="1" width="57.5546875" style="2" customWidth="1"/>
  </cols>
  <sheetData>
    <row r="1" spans="1:10" x14ac:dyDescent="0.3">
      <c r="A1" s="2" t="s">
        <v>296</v>
      </c>
      <c r="B1" t="s">
        <v>160</v>
      </c>
      <c r="C1" t="s">
        <v>297</v>
      </c>
      <c r="D1" t="s">
        <v>570</v>
      </c>
    </row>
    <row r="2" spans="1:10" x14ac:dyDescent="0.3">
      <c r="A2" s="2" t="s">
        <v>112</v>
      </c>
      <c r="B2">
        <v>1578.2</v>
      </c>
      <c r="C2">
        <v>13</v>
      </c>
      <c r="D2" t="s">
        <v>578</v>
      </c>
      <c r="E2" t="s">
        <v>572</v>
      </c>
      <c r="F2" t="s">
        <v>573</v>
      </c>
      <c r="G2" t="s">
        <v>574</v>
      </c>
      <c r="H2" t="s">
        <v>575</v>
      </c>
      <c r="I2" t="s">
        <v>298</v>
      </c>
      <c r="J2" t="s">
        <v>576</v>
      </c>
    </row>
    <row r="3" spans="1:10" x14ac:dyDescent="0.3">
      <c r="A3" s="2" t="s">
        <v>113</v>
      </c>
      <c r="B3">
        <v>1559.1</v>
      </c>
      <c r="C3">
        <v>13</v>
      </c>
      <c r="D3" t="s">
        <v>578</v>
      </c>
      <c r="E3" t="s">
        <v>572</v>
      </c>
      <c r="F3" t="s">
        <v>573</v>
      </c>
      <c r="G3" t="s">
        <v>574</v>
      </c>
      <c r="H3" t="s">
        <v>121</v>
      </c>
    </row>
    <row r="4" spans="1:10" x14ac:dyDescent="0.3">
      <c r="A4" s="2" t="s">
        <v>112</v>
      </c>
      <c r="B4">
        <v>1558.9</v>
      </c>
      <c r="C4">
        <v>13</v>
      </c>
      <c r="D4" t="s">
        <v>578</v>
      </c>
      <c r="E4" t="s">
        <v>572</v>
      </c>
      <c r="F4" t="s">
        <v>573</v>
      </c>
      <c r="G4" t="s">
        <v>574</v>
      </c>
      <c r="H4" t="s">
        <v>575</v>
      </c>
      <c r="I4" t="s">
        <v>298</v>
      </c>
      <c r="J4" t="s">
        <v>576</v>
      </c>
    </row>
    <row r="5" spans="1:10" x14ac:dyDescent="0.3">
      <c r="A5" s="2" t="s">
        <v>109</v>
      </c>
      <c r="B5">
        <v>1552.2</v>
      </c>
      <c r="C5">
        <v>18</v>
      </c>
      <c r="D5" t="s">
        <v>578</v>
      </c>
      <c r="E5" t="s">
        <v>572</v>
      </c>
      <c r="F5" t="s">
        <v>573</v>
      </c>
      <c r="G5" t="s">
        <v>574</v>
      </c>
      <c r="H5" t="s">
        <v>575</v>
      </c>
      <c r="I5" t="s">
        <v>298</v>
      </c>
      <c r="J5" t="s">
        <v>576</v>
      </c>
    </row>
    <row r="6" spans="1:10" x14ac:dyDescent="0.3">
      <c r="A6" s="2" t="s">
        <v>95</v>
      </c>
      <c r="B6">
        <v>1547.6</v>
      </c>
      <c r="C6">
        <v>20</v>
      </c>
      <c r="D6" t="s">
        <v>578</v>
      </c>
      <c r="E6" t="s">
        <v>572</v>
      </c>
      <c r="F6" t="s">
        <v>573</v>
      </c>
      <c r="G6" t="s">
        <v>574</v>
      </c>
      <c r="H6" t="s">
        <v>575</v>
      </c>
      <c r="I6" t="s">
        <v>298</v>
      </c>
      <c r="J6" t="s">
        <v>576</v>
      </c>
    </row>
    <row r="7" spans="1:10" x14ac:dyDescent="0.3">
      <c r="A7" s="2" t="s">
        <v>132</v>
      </c>
      <c r="B7">
        <v>1546</v>
      </c>
      <c r="C7">
        <v>11</v>
      </c>
      <c r="D7" t="s">
        <v>578</v>
      </c>
      <c r="E7" t="s">
        <v>572</v>
      </c>
      <c r="F7" t="s">
        <v>573</v>
      </c>
      <c r="G7" t="s">
        <v>574</v>
      </c>
      <c r="H7" t="s">
        <v>575</v>
      </c>
      <c r="I7" t="s">
        <v>298</v>
      </c>
      <c r="J7" t="s">
        <v>576</v>
      </c>
    </row>
    <row r="8" spans="1:10" x14ac:dyDescent="0.3">
      <c r="A8" s="2" t="s">
        <v>279</v>
      </c>
      <c r="B8">
        <v>1544.7</v>
      </c>
      <c r="C8">
        <v>6</v>
      </c>
      <c r="D8" t="s">
        <v>578</v>
      </c>
      <c r="E8" t="s">
        <v>572</v>
      </c>
      <c r="F8" t="s">
        <v>573</v>
      </c>
      <c r="G8" t="s">
        <v>574</v>
      </c>
      <c r="H8" t="s">
        <v>575</v>
      </c>
      <c r="I8" t="s">
        <v>298</v>
      </c>
      <c r="J8" t="s">
        <v>576</v>
      </c>
    </row>
    <row r="9" spans="1:10" x14ac:dyDescent="0.3">
      <c r="A9" s="2" t="s">
        <v>153</v>
      </c>
      <c r="B9">
        <v>1539.6</v>
      </c>
      <c r="C9">
        <v>8</v>
      </c>
      <c r="D9" t="s">
        <v>578</v>
      </c>
      <c r="E9" t="s">
        <v>572</v>
      </c>
      <c r="F9" t="s">
        <v>573</v>
      </c>
      <c r="G9" t="s">
        <v>574</v>
      </c>
      <c r="H9" t="s">
        <v>575</v>
      </c>
      <c r="I9" t="s">
        <v>298</v>
      </c>
      <c r="J9" t="s">
        <v>576</v>
      </c>
    </row>
    <row r="10" spans="1:10" x14ac:dyDescent="0.3">
      <c r="A10" s="2" t="s">
        <v>109</v>
      </c>
      <c r="B10">
        <v>1535.9</v>
      </c>
      <c r="C10">
        <v>10</v>
      </c>
      <c r="D10" t="s">
        <v>578</v>
      </c>
      <c r="E10" t="s">
        <v>572</v>
      </c>
      <c r="F10" t="s">
        <v>573</v>
      </c>
      <c r="G10" t="s">
        <v>574</v>
      </c>
      <c r="H10" t="s">
        <v>575</v>
      </c>
      <c r="I10" t="s">
        <v>298</v>
      </c>
      <c r="J10" t="s">
        <v>576</v>
      </c>
    </row>
    <row r="11" spans="1:10" x14ac:dyDescent="0.3">
      <c r="A11" s="2" t="s">
        <v>101</v>
      </c>
      <c r="B11">
        <v>1535.7</v>
      </c>
      <c r="C11">
        <v>16</v>
      </c>
      <c r="D11" t="s">
        <v>578</v>
      </c>
      <c r="E11" t="s">
        <v>572</v>
      </c>
      <c r="F11" t="s">
        <v>573</v>
      </c>
      <c r="G11" t="s">
        <v>574</v>
      </c>
      <c r="H11" t="s">
        <v>575</v>
      </c>
      <c r="I11" t="s">
        <v>298</v>
      </c>
      <c r="J11" t="s">
        <v>576</v>
      </c>
    </row>
    <row r="12" spans="1:10" x14ac:dyDescent="0.3">
      <c r="A12" s="2" t="s">
        <v>146</v>
      </c>
      <c r="B12">
        <v>1533.6</v>
      </c>
      <c r="C12">
        <v>8</v>
      </c>
      <c r="D12" t="s">
        <v>578</v>
      </c>
      <c r="E12" t="s">
        <v>572</v>
      </c>
      <c r="F12" t="s">
        <v>573</v>
      </c>
      <c r="G12" t="s">
        <v>574</v>
      </c>
      <c r="H12" t="s">
        <v>575</v>
      </c>
      <c r="I12" t="s">
        <v>298</v>
      </c>
      <c r="J12" t="s">
        <v>576</v>
      </c>
    </row>
    <row r="13" spans="1:10" x14ac:dyDescent="0.3">
      <c r="A13" s="2" t="s">
        <v>112</v>
      </c>
      <c r="B13">
        <v>1532.7</v>
      </c>
      <c r="C13">
        <v>13</v>
      </c>
      <c r="D13" t="s">
        <v>578</v>
      </c>
      <c r="E13" t="s">
        <v>572</v>
      </c>
      <c r="F13" t="s">
        <v>573</v>
      </c>
      <c r="G13" t="s">
        <v>574</v>
      </c>
      <c r="H13" t="s">
        <v>575</v>
      </c>
      <c r="I13" t="s">
        <v>298</v>
      </c>
      <c r="J13" t="s">
        <v>576</v>
      </c>
    </row>
    <row r="14" spans="1:10" x14ac:dyDescent="0.3">
      <c r="A14" s="2" t="s">
        <v>136</v>
      </c>
      <c r="B14">
        <v>1530.2</v>
      </c>
      <c r="C14">
        <v>10</v>
      </c>
      <c r="D14" t="s">
        <v>578</v>
      </c>
      <c r="E14" t="s">
        <v>572</v>
      </c>
      <c r="F14" t="s">
        <v>573</v>
      </c>
      <c r="G14" t="s">
        <v>574</v>
      </c>
      <c r="H14" t="s">
        <v>575</v>
      </c>
      <c r="I14" t="s">
        <v>298</v>
      </c>
      <c r="J14" t="s">
        <v>576</v>
      </c>
    </row>
    <row r="15" spans="1:10" x14ac:dyDescent="0.3">
      <c r="A15" s="2" t="s">
        <v>105</v>
      </c>
      <c r="B15">
        <v>1530</v>
      </c>
      <c r="C15">
        <v>18</v>
      </c>
      <c r="D15" t="s">
        <v>578</v>
      </c>
      <c r="E15" t="s">
        <v>572</v>
      </c>
      <c r="F15" t="s">
        <v>573</v>
      </c>
      <c r="G15" t="s">
        <v>574</v>
      </c>
      <c r="H15" t="s">
        <v>575</v>
      </c>
      <c r="I15" t="s">
        <v>298</v>
      </c>
      <c r="J15" t="s">
        <v>576</v>
      </c>
    </row>
    <row r="16" spans="1:10" x14ac:dyDescent="0.3">
      <c r="A16" s="2" t="s">
        <v>289</v>
      </c>
      <c r="B16">
        <v>1526</v>
      </c>
      <c r="C16">
        <v>5</v>
      </c>
      <c r="D16" t="s">
        <v>578</v>
      </c>
      <c r="E16" t="s">
        <v>572</v>
      </c>
      <c r="F16" t="s">
        <v>573</v>
      </c>
      <c r="G16" t="s">
        <v>574</v>
      </c>
      <c r="H16" t="s">
        <v>575</v>
      </c>
      <c r="I16" t="s">
        <v>298</v>
      </c>
      <c r="J16" t="s">
        <v>576</v>
      </c>
    </row>
    <row r="17" spans="1:10" x14ac:dyDescent="0.3">
      <c r="A17" s="2" t="s">
        <v>386</v>
      </c>
      <c r="B17">
        <v>1525.5</v>
      </c>
      <c r="C17">
        <v>3</v>
      </c>
      <c r="D17" t="s">
        <v>578</v>
      </c>
      <c r="E17" t="s">
        <v>572</v>
      </c>
      <c r="F17" t="s">
        <v>573</v>
      </c>
      <c r="G17" t="s">
        <v>574</v>
      </c>
      <c r="H17" t="s">
        <v>575</v>
      </c>
      <c r="I17" t="s">
        <v>298</v>
      </c>
      <c r="J17" t="s">
        <v>576</v>
      </c>
    </row>
    <row r="18" spans="1:10" x14ac:dyDescent="0.3">
      <c r="A18" s="2" t="s">
        <v>394</v>
      </c>
      <c r="B18">
        <v>1525.3</v>
      </c>
      <c r="C18">
        <v>2</v>
      </c>
      <c r="D18" t="s">
        <v>578</v>
      </c>
      <c r="E18" t="s">
        <v>572</v>
      </c>
      <c r="F18" t="s">
        <v>573</v>
      </c>
      <c r="G18" t="s">
        <v>574</v>
      </c>
      <c r="H18" t="s">
        <v>575</v>
      </c>
      <c r="I18" t="s">
        <v>298</v>
      </c>
      <c r="J18" t="s">
        <v>576</v>
      </c>
    </row>
    <row r="19" spans="1:10" x14ac:dyDescent="0.3">
      <c r="A19" s="2" t="s">
        <v>156</v>
      </c>
      <c r="B19">
        <v>1524.6</v>
      </c>
      <c r="C19">
        <v>5</v>
      </c>
      <c r="D19" t="s">
        <v>578</v>
      </c>
      <c r="E19" t="s">
        <v>572</v>
      </c>
      <c r="F19" t="s">
        <v>573</v>
      </c>
      <c r="G19" t="s">
        <v>574</v>
      </c>
      <c r="H19" t="s">
        <v>575</v>
      </c>
      <c r="I19" t="s">
        <v>298</v>
      </c>
      <c r="J19" t="s">
        <v>576</v>
      </c>
    </row>
    <row r="20" spans="1:10" x14ac:dyDescent="0.3">
      <c r="A20" s="2" t="s">
        <v>100</v>
      </c>
      <c r="B20">
        <v>1523.9</v>
      </c>
      <c r="C20">
        <v>20</v>
      </c>
      <c r="D20" t="s">
        <v>578</v>
      </c>
      <c r="E20" t="s">
        <v>572</v>
      </c>
      <c r="F20" t="s">
        <v>573</v>
      </c>
      <c r="G20" t="s">
        <v>574</v>
      </c>
      <c r="H20" t="s">
        <v>575</v>
      </c>
      <c r="I20" t="s">
        <v>298</v>
      </c>
      <c r="J20" t="s">
        <v>576</v>
      </c>
    </row>
    <row r="21" spans="1:10" x14ac:dyDescent="0.3">
      <c r="A21" s="2" t="s">
        <v>111</v>
      </c>
      <c r="B21">
        <v>1522.2</v>
      </c>
      <c r="C21">
        <v>18</v>
      </c>
      <c r="D21" t="s">
        <v>578</v>
      </c>
      <c r="E21" t="s">
        <v>572</v>
      </c>
      <c r="F21" t="s">
        <v>573</v>
      </c>
      <c r="G21" t="s">
        <v>574</v>
      </c>
      <c r="H21" t="s">
        <v>575</v>
      </c>
      <c r="I21" t="s">
        <v>298</v>
      </c>
      <c r="J21" t="s">
        <v>576</v>
      </c>
    </row>
    <row r="22" spans="1:10" x14ac:dyDescent="0.3">
      <c r="A22" s="2" t="s">
        <v>138</v>
      </c>
      <c r="B22">
        <v>1521.6</v>
      </c>
      <c r="C22">
        <v>9</v>
      </c>
      <c r="D22" t="s">
        <v>578</v>
      </c>
      <c r="E22" t="s">
        <v>572</v>
      </c>
      <c r="F22" t="s">
        <v>573</v>
      </c>
      <c r="G22" t="s">
        <v>574</v>
      </c>
      <c r="H22" t="s">
        <v>575</v>
      </c>
      <c r="I22" t="s">
        <v>298</v>
      </c>
      <c r="J22" t="s">
        <v>576</v>
      </c>
    </row>
    <row r="23" spans="1:10" x14ac:dyDescent="0.3">
      <c r="A23" s="2" t="s">
        <v>150</v>
      </c>
      <c r="B23">
        <v>1521.3</v>
      </c>
      <c r="C23">
        <v>8</v>
      </c>
      <c r="D23" t="s">
        <v>578</v>
      </c>
      <c r="E23" t="s">
        <v>572</v>
      </c>
      <c r="F23" t="s">
        <v>573</v>
      </c>
      <c r="G23" t="s">
        <v>574</v>
      </c>
      <c r="H23" t="s">
        <v>575</v>
      </c>
      <c r="I23" t="s">
        <v>298</v>
      </c>
      <c r="J23" t="s">
        <v>576</v>
      </c>
    </row>
    <row r="24" spans="1:10" x14ac:dyDescent="0.3">
      <c r="A24" s="2" t="s">
        <v>101</v>
      </c>
      <c r="B24">
        <v>1519.1</v>
      </c>
      <c r="C24">
        <v>19</v>
      </c>
      <c r="D24" t="s">
        <v>578</v>
      </c>
      <c r="E24" t="s">
        <v>572</v>
      </c>
      <c r="F24" t="s">
        <v>573</v>
      </c>
      <c r="G24" t="s">
        <v>574</v>
      </c>
      <c r="H24" t="s">
        <v>575</v>
      </c>
      <c r="I24" t="s">
        <v>298</v>
      </c>
      <c r="J24" t="s">
        <v>576</v>
      </c>
    </row>
    <row r="25" spans="1:10" x14ac:dyDescent="0.3">
      <c r="A25" s="2" t="s">
        <v>113</v>
      </c>
      <c r="B25">
        <v>1518.7</v>
      </c>
      <c r="C25">
        <v>13</v>
      </c>
      <c r="D25" t="s">
        <v>578</v>
      </c>
      <c r="E25" t="s">
        <v>572</v>
      </c>
      <c r="F25" t="s">
        <v>573</v>
      </c>
      <c r="G25" t="s">
        <v>574</v>
      </c>
      <c r="H25" t="s">
        <v>569</v>
      </c>
    </row>
    <row r="26" spans="1:10" x14ac:dyDescent="0.3">
      <c r="A26" s="2" t="s">
        <v>105</v>
      </c>
      <c r="B26">
        <v>1517.8</v>
      </c>
      <c r="C26">
        <v>16</v>
      </c>
      <c r="D26" t="s">
        <v>578</v>
      </c>
      <c r="E26" t="s">
        <v>572</v>
      </c>
      <c r="F26" t="s">
        <v>573</v>
      </c>
      <c r="G26" t="s">
        <v>574</v>
      </c>
      <c r="H26" t="s">
        <v>575</v>
      </c>
      <c r="I26" t="s">
        <v>298</v>
      </c>
      <c r="J26" t="s">
        <v>576</v>
      </c>
    </row>
    <row r="27" spans="1:10" x14ac:dyDescent="0.3">
      <c r="A27" s="2" t="s">
        <v>91</v>
      </c>
      <c r="B27">
        <v>1516.5</v>
      </c>
      <c r="C27">
        <v>12</v>
      </c>
      <c r="D27" t="s">
        <v>578</v>
      </c>
      <c r="E27" t="s">
        <v>572</v>
      </c>
      <c r="F27" t="s">
        <v>573</v>
      </c>
      <c r="G27" t="s">
        <v>574</v>
      </c>
      <c r="H27" t="s">
        <v>575</v>
      </c>
      <c r="I27" t="s">
        <v>298</v>
      </c>
      <c r="J27" t="s">
        <v>576</v>
      </c>
    </row>
    <row r="28" spans="1:10" x14ac:dyDescent="0.3">
      <c r="A28" s="2" t="s">
        <v>403</v>
      </c>
      <c r="B28">
        <v>1514.7</v>
      </c>
      <c r="C28" t="s">
        <v>299</v>
      </c>
      <c r="D28" t="s">
        <v>577</v>
      </c>
      <c r="E28" t="s">
        <v>572</v>
      </c>
      <c r="F28" t="s">
        <v>573</v>
      </c>
      <c r="G28" t="s">
        <v>574</v>
      </c>
      <c r="H28" t="s">
        <v>575</v>
      </c>
      <c r="I28" t="s">
        <v>298</v>
      </c>
      <c r="J28" t="s">
        <v>576</v>
      </c>
    </row>
    <row r="29" spans="1:10" x14ac:dyDescent="0.3">
      <c r="A29" s="2" t="s">
        <v>108</v>
      </c>
      <c r="B29">
        <v>1513.2</v>
      </c>
      <c r="C29">
        <v>18</v>
      </c>
      <c r="D29" t="s">
        <v>578</v>
      </c>
      <c r="E29" t="s">
        <v>572</v>
      </c>
      <c r="F29" t="s">
        <v>573</v>
      </c>
      <c r="G29" t="s">
        <v>574</v>
      </c>
      <c r="H29" t="s">
        <v>575</v>
      </c>
      <c r="I29" t="s">
        <v>298</v>
      </c>
      <c r="J29" t="s">
        <v>576</v>
      </c>
    </row>
    <row r="30" spans="1:10" x14ac:dyDescent="0.3">
      <c r="A30" s="2" t="s">
        <v>286</v>
      </c>
      <c r="B30">
        <v>1512.9</v>
      </c>
      <c r="C30">
        <v>6</v>
      </c>
      <c r="D30" t="s">
        <v>578</v>
      </c>
      <c r="E30" t="s">
        <v>572</v>
      </c>
      <c r="F30" t="s">
        <v>573</v>
      </c>
      <c r="G30" t="s">
        <v>574</v>
      </c>
      <c r="H30" t="s">
        <v>575</v>
      </c>
      <c r="I30" t="s">
        <v>298</v>
      </c>
      <c r="J30" t="s">
        <v>576</v>
      </c>
    </row>
    <row r="31" spans="1:10" x14ac:dyDescent="0.3">
      <c r="A31" s="2" t="s">
        <v>139</v>
      </c>
      <c r="B31">
        <v>1512.7</v>
      </c>
      <c r="C31">
        <v>9</v>
      </c>
      <c r="D31" t="s">
        <v>578</v>
      </c>
      <c r="E31" t="s">
        <v>572</v>
      </c>
      <c r="F31" t="s">
        <v>573</v>
      </c>
      <c r="G31" t="s">
        <v>574</v>
      </c>
      <c r="H31" t="s">
        <v>575</v>
      </c>
      <c r="I31" t="s">
        <v>298</v>
      </c>
      <c r="J31" t="s">
        <v>576</v>
      </c>
    </row>
    <row r="32" spans="1:10" x14ac:dyDescent="0.3">
      <c r="A32" s="2" t="s">
        <v>133</v>
      </c>
      <c r="B32">
        <v>1511.8</v>
      </c>
      <c r="C32">
        <v>11</v>
      </c>
      <c r="D32" t="s">
        <v>578</v>
      </c>
      <c r="E32" t="s">
        <v>572</v>
      </c>
      <c r="F32" t="s">
        <v>573</v>
      </c>
      <c r="G32" t="s">
        <v>574</v>
      </c>
      <c r="H32" t="s">
        <v>575</v>
      </c>
      <c r="I32" t="s">
        <v>298</v>
      </c>
      <c r="J32" t="s">
        <v>576</v>
      </c>
    </row>
    <row r="33" spans="1:10" x14ac:dyDescent="0.3">
      <c r="A33" s="2" t="s">
        <v>105</v>
      </c>
      <c r="B33">
        <v>1511.5</v>
      </c>
      <c r="C33">
        <v>11</v>
      </c>
      <c r="D33" t="s">
        <v>578</v>
      </c>
      <c r="E33" t="s">
        <v>572</v>
      </c>
      <c r="F33" t="s">
        <v>573</v>
      </c>
      <c r="G33" t="s">
        <v>574</v>
      </c>
      <c r="H33" t="s">
        <v>575</v>
      </c>
      <c r="I33" t="s">
        <v>298</v>
      </c>
      <c r="J33" t="s">
        <v>576</v>
      </c>
    </row>
    <row r="34" spans="1:10" x14ac:dyDescent="0.3">
      <c r="A34" s="2" t="s">
        <v>143</v>
      </c>
      <c r="B34">
        <v>1510.8</v>
      </c>
      <c r="C34">
        <v>9</v>
      </c>
      <c r="D34" t="s">
        <v>578</v>
      </c>
      <c r="E34" t="s">
        <v>572</v>
      </c>
      <c r="F34" t="s">
        <v>573</v>
      </c>
      <c r="G34" t="s">
        <v>574</v>
      </c>
      <c r="H34" t="s">
        <v>575</v>
      </c>
      <c r="I34" t="s">
        <v>298</v>
      </c>
      <c r="J34" t="s">
        <v>576</v>
      </c>
    </row>
    <row r="35" spans="1:10" x14ac:dyDescent="0.3">
      <c r="A35" s="2" t="s">
        <v>146</v>
      </c>
      <c r="B35">
        <v>1510.1</v>
      </c>
      <c r="C35">
        <v>9</v>
      </c>
      <c r="D35" t="s">
        <v>578</v>
      </c>
      <c r="E35" t="s">
        <v>572</v>
      </c>
      <c r="F35" t="s">
        <v>573</v>
      </c>
      <c r="G35" t="s">
        <v>574</v>
      </c>
      <c r="H35" t="s">
        <v>575</v>
      </c>
      <c r="I35" t="s">
        <v>298</v>
      </c>
      <c r="J35" t="s">
        <v>576</v>
      </c>
    </row>
    <row r="36" spans="1:10" x14ac:dyDescent="0.3">
      <c r="A36" s="2" t="s">
        <v>565</v>
      </c>
      <c r="B36">
        <v>1507.1</v>
      </c>
      <c r="C36">
        <v>12</v>
      </c>
      <c r="D36" t="s">
        <v>571</v>
      </c>
      <c r="E36" t="s">
        <v>572</v>
      </c>
      <c r="F36" t="s">
        <v>573</v>
      </c>
      <c r="G36" t="s">
        <v>574</v>
      </c>
      <c r="H36" t="s">
        <v>575</v>
      </c>
      <c r="I36" t="s">
        <v>298</v>
      </c>
      <c r="J36" t="s">
        <v>576</v>
      </c>
    </row>
    <row r="37" spans="1:10" x14ac:dyDescent="0.3">
      <c r="A37" s="2" t="s">
        <v>155</v>
      </c>
      <c r="B37">
        <v>1506.7</v>
      </c>
      <c r="C37">
        <v>8</v>
      </c>
      <c r="D37" t="s">
        <v>578</v>
      </c>
      <c r="E37" t="s">
        <v>572</v>
      </c>
      <c r="F37" t="s">
        <v>573</v>
      </c>
      <c r="G37" t="s">
        <v>574</v>
      </c>
      <c r="H37" t="s">
        <v>575</v>
      </c>
      <c r="I37" t="s">
        <v>298</v>
      </c>
      <c r="J37" t="s">
        <v>576</v>
      </c>
    </row>
    <row r="38" spans="1:10" x14ac:dyDescent="0.3">
      <c r="A38" s="2" t="s">
        <v>277</v>
      </c>
      <c r="B38">
        <v>1505</v>
      </c>
      <c r="C38">
        <v>7</v>
      </c>
      <c r="D38" t="s">
        <v>578</v>
      </c>
      <c r="E38" t="s">
        <v>572</v>
      </c>
      <c r="F38" t="s">
        <v>573</v>
      </c>
      <c r="G38" t="s">
        <v>574</v>
      </c>
      <c r="H38" t="s">
        <v>575</v>
      </c>
      <c r="I38" t="s">
        <v>298</v>
      </c>
      <c r="J38" t="s">
        <v>576</v>
      </c>
    </row>
    <row r="39" spans="1:10" x14ac:dyDescent="0.3">
      <c r="A39" s="2" t="s">
        <v>283</v>
      </c>
      <c r="B39">
        <v>1504.7</v>
      </c>
      <c r="C39">
        <v>6</v>
      </c>
      <c r="D39" t="s">
        <v>578</v>
      </c>
      <c r="E39" t="s">
        <v>572</v>
      </c>
      <c r="F39" t="s">
        <v>573</v>
      </c>
      <c r="G39" t="s">
        <v>574</v>
      </c>
      <c r="H39" t="s">
        <v>284</v>
      </c>
    </row>
    <row r="40" spans="1:10" x14ac:dyDescent="0.3">
      <c r="A40" s="2" t="s">
        <v>379</v>
      </c>
      <c r="B40">
        <v>1502.1</v>
      </c>
      <c r="C40">
        <v>3</v>
      </c>
      <c r="D40" t="s">
        <v>578</v>
      </c>
      <c r="E40" t="s">
        <v>572</v>
      </c>
      <c r="F40" t="s">
        <v>573</v>
      </c>
      <c r="G40" t="s">
        <v>574</v>
      </c>
      <c r="H40" t="s">
        <v>575</v>
      </c>
      <c r="I40" t="s">
        <v>298</v>
      </c>
      <c r="J40" t="s">
        <v>576</v>
      </c>
    </row>
    <row r="41" spans="1:10" x14ac:dyDescent="0.3">
      <c r="A41" s="2" t="s">
        <v>279</v>
      </c>
      <c r="B41">
        <v>1500.7</v>
      </c>
      <c r="C41">
        <v>4</v>
      </c>
      <c r="D41" t="s">
        <v>578</v>
      </c>
      <c r="E41" t="s">
        <v>572</v>
      </c>
      <c r="F41" t="s">
        <v>573</v>
      </c>
      <c r="G41" t="s">
        <v>574</v>
      </c>
      <c r="H41" t="s">
        <v>575</v>
      </c>
      <c r="I41" t="s">
        <v>298</v>
      </c>
      <c r="J41" t="s">
        <v>576</v>
      </c>
    </row>
    <row r="42" spans="1:10" x14ac:dyDescent="0.3">
      <c r="A42" s="2" t="s">
        <v>153</v>
      </c>
      <c r="B42">
        <v>1500.3</v>
      </c>
      <c r="C42">
        <v>7</v>
      </c>
      <c r="D42" t="s">
        <v>578</v>
      </c>
      <c r="E42" t="s">
        <v>572</v>
      </c>
      <c r="F42" t="s">
        <v>573</v>
      </c>
      <c r="G42" t="s">
        <v>574</v>
      </c>
      <c r="H42" t="s">
        <v>575</v>
      </c>
      <c r="I42" t="s">
        <v>298</v>
      </c>
      <c r="J42" t="s">
        <v>576</v>
      </c>
    </row>
    <row r="43" spans="1:10" x14ac:dyDescent="0.3">
      <c r="A43" s="2" t="s">
        <v>127</v>
      </c>
      <c r="B43">
        <v>1499.3</v>
      </c>
      <c r="C43">
        <v>12</v>
      </c>
      <c r="D43" t="s">
        <v>578</v>
      </c>
      <c r="E43" t="s">
        <v>572</v>
      </c>
      <c r="F43" t="s">
        <v>573</v>
      </c>
      <c r="G43" t="s">
        <v>574</v>
      </c>
      <c r="H43" t="s">
        <v>575</v>
      </c>
      <c r="I43" t="s">
        <v>298</v>
      </c>
      <c r="J43" t="s">
        <v>576</v>
      </c>
    </row>
    <row r="44" spans="1:10" x14ac:dyDescent="0.3">
      <c r="A44" s="2" t="s">
        <v>106</v>
      </c>
      <c r="B44">
        <v>1499.2</v>
      </c>
      <c r="C44">
        <v>19</v>
      </c>
      <c r="D44" t="s">
        <v>578</v>
      </c>
      <c r="E44" t="s">
        <v>572</v>
      </c>
      <c r="F44" t="s">
        <v>573</v>
      </c>
      <c r="G44" t="s">
        <v>574</v>
      </c>
      <c r="H44" t="s">
        <v>575</v>
      </c>
      <c r="I44" t="s">
        <v>298</v>
      </c>
      <c r="J44" t="s">
        <v>576</v>
      </c>
    </row>
    <row r="45" spans="1:10" x14ac:dyDescent="0.3">
      <c r="A45" s="2" t="s">
        <v>112</v>
      </c>
      <c r="B45">
        <v>1498.2</v>
      </c>
      <c r="C45">
        <v>13</v>
      </c>
      <c r="D45" t="s">
        <v>578</v>
      </c>
      <c r="E45" t="s">
        <v>572</v>
      </c>
      <c r="F45" t="s">
        <v>573</v>
      </c>
      <c r="G45" t="s">
        <v>574</v>
      </c>
      <c r="H45" t="s">
        <v>575</v>
      </c>
      <c r="I45" t="s">
        <v>298</v>
      </c>
      <c r="J45" t="s">
        <v>576</v>
      </c>
    </row>
    <row r="46" spans="1:10" x14ac:dyDescent="0.3">
      <c r="A46" s="2" t="s">
        <v>112</v>
      </c>
      <c r="B46">
        <v>1498.2</v>
      </c>
      <c r="C46">
        <v>14</v>
      </c>
      <c r="D46" t="s">
        <v>578</v>
      </c>
      <c r="E46" t="s">
        <v>572</v>
      </c>
      <c r="F46" t="s">
        <v>573</v>
      </c>
      <c r="G46" t="s">
        <v>574</v>
      </c>
      <c r="H46" t="s">
        <v>575</v>
      </c>
      <c r="I46" t="s">
        <v>298</v>
      </c>
      <c r="J46" t="s">
        <v>576</v>
      </c>
    </row>
    <row r="47" spans="1:10" x14ac:dyDescent="0.3">
      <c r="A47" s="2" t="s">
        <v>145</v>
      </c>
      <c r="B47">
        <v>1497.6</v>
      </c>
      <c r="C47">
        <v>9</v>
      </c>
      <c r="D47" t="s">
        <v>578</v>
      </c>
      <c r="E47" t="s">
        <v>572</v>
      </c>
      <c r="F47" t="s">
        <v>573</v>
      </c>
      <c r="G47" t="s">
        <v>574</v>
      </c>
      <c r="H47" t="s">
        <v>575</v>
      </c>
      <c r="I47" t="s">
        <v>298</v>
      </c>
      <c r="J47" t="s">
        <v>576</v>
      </c>
    </row>
    <row r="48" spans="1:10" x14ac:dyDescent="0.3">
      <c r="A48" s="2" t="s">
        <v>147</v>
      </c>
      <c r="B48">
        <v>1496.8</v>
      </c>
      <c r="C48">
        <v>9</v>
      </c>
      <c r="D48" t="s">
        <v>578</v>
      </c>
      <c r="E48" t="s">
        <v>572</v>
      </c>
      <c r="F48" t="s">
        <v>573</v>
      </c>
      <c r="G48" t="s">
        <v>574</v>
      </c>
      <c r="H48" t="s">
        <v>575</v>
      </c>
      <c r="I48" t="s">
        <v>298</v>
      </c>
      <c r="J48" t="s">
        <v>576</v>
      </c>
    </row>
    <row r="49" spans="1:10" x14ac:dyDescent="0.3">
      <c r="A49" s="2" t="s">
        <v>277</v>
      </c>
      <c r="B49">
        <v>1496.5</v>
      </c>
      <c r="C49">
        <v>7</v>
      </c>
      <c r="D49" t="s">
        <v>578</v>
      </c>
      <c r="E49" t="s">
        <v>572</v>
      </c>
      <c r="F49" t="s">
        <v>573</v>
      </c>
      <c r="G49" t="s">
        <v>574</v>
      </c>
      <c r="H49" t="s">
        <v>575</v>
      </c>
      <c r="I49" t="s">
        <v>298</v>
      </c>
      <c r="J49" t="s">
        <v>576</v>
      </c>
    </row>
    <row r="50" spans="1:10" x14ac:dyDescent="0.3">
      <c r="A50" s="2" t="s">
        <v>123</v>
      </c>
      <c r="B50">
        <v>1496.4</v>
      </c>
      <c r="C50">
        <v>13</v>
      </c>
      <c r="D50" t="s">
        <v>578</v>
      </c>
      <c r="E50" t="s">
        <v>572</v>
      </c>
      <c r="F50" t="s">
        <v>573</v>
      </c>
      <c r="G50" t="s">
        <v>574</v>
      </c>
      <c r="H50" t="s">
        <v>575</v>
      </c>
      <c r="I50" t="s">
        <v>298</v>
      </c>
      <c r="J50" t="s">
        <v>576</v>
      </c>
    </row>
    <row r="51" spans="1:10" x14ac:dyDescent="0.3">
      <c r="A51" s="2" t="s">
        <v>143</v>
      </c>
      <c r="B51">
        <v>1495.8</v>
      </c>
      <c r="C51">
        <v>9</v>
      </c>
      <c r="D51" t="s">
        <v>578</v>
      </c>
      <c r="E51" t="s">
        <v>572</v>
      </c>
      <c r="F51" t="s">
        <v>573</v>
      </c>
      <c r="G51" t="s">
        <v>574</v>
      </c>
      <c r="H51" t="s">
        <v>575</v>
      </c>
      <c r="I51" t="s">
        <v>298</v>
      </c>
      <c r="J51" t="s">
        <v>576</v>
      </c>
    </row>
    <row r="52" spans="1:10" x14ac:dyDescent="0.3">
      <c r="A52" s="2" t="s">
        <v>100</v>
      </c>
      <c r="B52">
        <v>1495.8</v>
      </c>
      <c r="C52">
        <v>16</v>
      </c>
      <c r="D52" t="s">
        <v>578</v>
      </c>
      <c r="E52" t="s">
        <v>572</v>
      </c>
      <c r="F52" t="s">
        <v>573</v>
      </c>
      <c r="G52" t="s">
        <v>574</v>
      </c>
      <c r="H52" t="s">
        <v>575</v>
      </c>
      <c r="I52" t="s">
        <v>298</v>
      </c>
      <c r="J52" t="s">
        <v>576</v>
      </c>
    </row>
    <row r="53" spans="1:10" x14ac:dyDescent="0.3">
      <c r="A53" s="2" t="s">
        <v>133</v>
      </c>
      <c r="B53">
        <v>1493.4</v>
      </c>
      <c r="C53">
        <v>11</v>
      </c>
      <c r="D53" t="s">
        <v>578</v>
      </c>
      <c r="E53" t="s">
        <v>572</v>
      </c>
      <c r="F53" t="s">
        <v>573</v>
      </c>
      <c r="G53" t="s">
        <v>574</v>
      </c>
      <c r="H53" t="s">
        <v>575</v>
      </c>
      <c r="I53" t="s">
        <v>298</v>
      </c>
      <c r="J53" t="s">
        <v>576</v>
      </c>
    </row>
    <row r="54" spans="1:10" x14ac:dyDescent="0.3">
      <c r="A54" s="2" t="s">
        <v>277</v>
      </c>
      <c r="B54">
        <v>1492.5</v>
      </c>
      <c r="C54">
        <v>6</v>
      </c>
      <c r="D54" t="s">
        <v>578</v>
      </c>
      <c r="E54" t="s">
        <v>572</v>
      </c>
      <c r="F54" t="s">
        <v>573</v>
      </c>
      <c r="G54" t="s">
        <v>574</v>
      </c>
      <c r="H54" t="s">
        <v>575</v>
      </c>
      <c r="I54" t="s">
        <v>298</v>
      </c>
      <c r="J54" t="s">
        <v>576</v>
      </c>
    </row>
    <row r="55" spans="1:10" x14ac:dyDescent="0.3">
      <c r="A55" s="2" t="s">
        <v>159</v>
      </c>
      <c r="B55">
        <v>1492.2</v>
      </c>
      <c r="C55">
        <v>7</v>
      </c>
      <c r="D55" t="s">
        <v>578</v>
      </c>
      <c r="E55" t="s">
        <v>572</v>
      </c>
      <c r="F55" t="s">
        <v>573</v>
      </c>
      <c r="G55" t="s">
        <v>574</v>
      </c>
      <c r="H55" t="s">
        <v>575</v>
      </c>
      <c r="I55" t="s">
        <v>298</v>
      </c>
      <c r="J55" t="s">
        <v>576</v>
      </c>
    </row>
    <row r="56" spans="1:10" x14ac:dyDescent="0.3">
      <c r="A56" s="2" t="s">
        <v>111</v>
      </c>
      <c r="B56">
        <v>1490.8</v>
      </c>
      <c r="C56">
        <v>16</v>
      </c>
      <c r="D56" t="s">
        <v>578</v>
      </c>
      <c r="E56" t="s">
        <v>572</v>
      </c>
      <c r="F56" t="s">
        <v>573</v>
      </c>
      <c r="G56" t="s">
        <v>574</v>
      </c>
      <c r="H56" t="s">
        <v>575</v>
      </c>
      <c r="I56" t="s">
        <v>298</v>
      </c>
      <c r="J56" t="s">
        <v>576</v>
      </c>
    </row>
    <row r="57" spans="1:10" x14ac:dyDescent="0.3">
      <c r="A57" s="2" t="s">
        <v>137</v>
      </c>
      <c r="B57">
        <v>1489.9</v>
      </c>
      <c r="C57">
        <v>10</v>
      </c>
      <c r="D57" t="s">
        <v>578</v>
      </c>
      <c r="E57" t="s">
        <v>572</v>
      </c>
      <c r="F57" t="s">
        <v>573</v>
      </c>
      <c r="G57" t="s">
        <v>574</v>
      </c>
      <c r="H57" t="s">
        <v>575</v>
      </c>
      <c r="I57" t="s">
        <v>298</v>
      </c>
      <c r="J57" t="s">
        <v>576</v>
      </c>
    </row>
    <row r="58" spans="1:10" x14ac:dyDescent="0.3">
      <c r="A58" s="2" t="s">
        <v>390</v>
      </c>
      <c r="B58">
        <v>1489</v>
      </c>
      <c r="C58">
        <v>2</v>
      </c>
      <c r="D58" t="s">
        <v>578</v>
      </c>
      <c r="E58" t="s">
        <v>572</v>
      </c>
      <c r="F58" t="s">
        <v>573</v>
      </c>
      <c r="G58" t="s">
        <v>574</v>
      </c>
      <c r="H58" t="s">
        <v>575</v>
      </c>
      <c r="I58" t="s">
        <v>298</v>
      </c>
      <c r="J58" t="s">
        <v>576</v>
      </c>
    </row>
    <row r="59" spans="1:10" x14ac:dyDescent="0.3">
      <c r="A59" s="2" t="s">
        <v>96</v>
      </c>
      <c r="B59">
        <v>1488.8</v>
      </c>
      <c r="C59">
        <v>20</v>
      </c>
      <c r="D59" t="s">
        <v>578</v>
      </c>
      <c r="E59" t="s">
        <v>572</v>
      </c>
      <c r="F59" t="s">
        <v>573</v>
      </c>
      <c r="G59" t="s">
        <v>574</v>
      </c>
      <c r="H59" t="s">
        <v>575</v>
      </c>
      <c r="I59" t="s">
        <v>298</v>
      </c>
      <c r="J59" t="s">
        <v>576</v>
      </c>
    </row>
    <row r="60" spans="1:10" x14ac:dyDescent="0.3">
      <c r="A60" s="2" t="s">
        <v>376</v>
      </c>
      <c r="B60">
        <v>1488.4</v>
      </c>
      <c r="C60">
        <v>4</v>
      </c>
      <c r="D60" t="s">
        <v>578</v>
      </c>
      <c r="E60" t="s">
        <v>572</v>
      </c>
      <c r="F60" t="s">
        <v>573</v>
      </c>
      <c r="G60" t="s">
        <v>574</v>
      </c>
      <c r="H60" t="s">
        <v>575</v>
      </c>
      <c r="I60" t="s">
        <v>298</v>
      </c>
      <c r="J60" t="s">
        <v>576</v>
      </c>
    </row>
    <row r="61" spans="1:10" x14ac:dyDescent="0.3">
      <c r="A61" s="2" t="s">
        <v>389</v>
      </c>
      <c r="B61">
        <v>1487.4</v>
      </c>
      <c r="C61">
        <v>2</v>
      </c>
      <c r="D61" t="s">
        <v>578</v>
      </c>
      <c r="E61" t="s">
        <v>572</v>
      </c>
      <c r="F61" t="s">
        <v>573</v>
      </c>
      <c r="G61" t="s">
        <v>574</v>
      </c>
      <c r="H61" t="s">
        <v>575</v>
      </c>
      <c r="I61" t="s">
        <v>298</v>
      </c>
      <c r="J61" t="s">
        <v>576</v>
      </c>
    </row>
    <row r="62" spans="1:10" x14ac:dyDescent="0.3">
      <c r="A62" s="2" t="s">
        <v>381</v>
      </c>
      <c r="B62">
        <v>1485.4</v>
      </c>
      <c r="C62">
        <v>3</v>
      </c>
      <c r="D62" t="s">
        <v>578</v>
      </c>
      <c r="E62" t="s">
        <v>572</v>
      </c>
      <c r="F62" t="s">
        <v>573</v>
      </c>
      <c r="G62" t="s">
        <v>574</v>
      </c>
      <c r="H62" t="s">
        <v>575</v>
      </c>
      <c r="I62" t="s">
        <v>298</v>
      </c>
      <c r="J62" t="s">
        <v>576</v>
      </c>
    </row>
    <row r="63" spans="1:10" x14ac:dyDescent="0.3">
      <c r="A63" s="2" t="s">
        <v>91</v>
      </c>
      <c r="B63">
        <v>1483.6</v>
      </c>
      <c r="C63">
        <v>20</v>
      </c>
      <c r="D63" t="s">
        <v>578</v>
      </c>
      <c r="E63" t="s">
        <v>572</v>
      </c>
      <c r="F63" t="s">
        <v>573</v>
      </c>
      <c r="G63" t="s">
        <v>574</v>
      </c>
      <c r="H63" t="s">
        <v>575</v>
      </c>
      <c r="I63" t="s">
        <v>298</v>
      </c>
      <c r="J63" t="s">
        <v>576</v>
      </c>
    </row>
    <row r="64" spans="1:10" x14ac:dyDescent="0.3">
      <c r="A64" s="2" t="s">
        <v>106</v>
      </c>
      <c r="B64">
        <v>1481</v>
      </c>
      <c r="C64">
        <v>16</v>
      </c>
      <c r="D64" t="s">
        <v>578</v>
      </c>
      <c r="E64" t="s">
        <v>572</v>
      </c>
      <c r="F64" t="s">
        <v>573</v>
      </c>
      <c r="G64" t="s">
        <v>574</v>
      </c>
      <c r="H64" t="s">
        <v>575</v>
      </c>
      <c r="I64" t="s">
        <v>298</v>
      </c>
      <c r="J64" t="s">
        <v>576</v>
      </c>
    </row>
    <row r="65" spans="1:10" x14ac:dyDescent="0.3">
      <c r="A65" s="2" t="s">
        <v>131</v>
      </c>
      <c r="B65">
        <v>1480.1</v>
      </c>
      <c r="C65">
        <v>11</v>
      </c>
      <c r="D65" t="s">
        <v>578</v>
      </c>
      <c r="E65" t="s">
        <v>572</v>
      </c>
      <c r="F65" t="s">
        <v>573</v>
      </c>
      <c r="G65" t="s">
        <v>574</v>
      </c>
      <c r="H65" t="s">
        <v>575</v>
      </c>
      <c r="I65" t="s">
        <v>298</v>
      </c>
      <c r="J65" t="s">
        <v>576</v>
      </c>
    </row>
    <row r="66" spans="1:10" x14ac:dyDescent="0.3">
      <c r="A66" s="2" t="s">
        <v>378</v>
      </c>
      <c r="B66">
        <v>1476.9</v>
      </c>
      <c r="C66">
        <v>3</v>
      </c>
      <c r="D66" t="s">
        <v>578</v>
      </c>
      <c r="E66" t="s">
        <v>572</v>
      </c>
      <c r="F66" t="s">
        <v>573</v>
      </c>
      <c r="G66" t="s">
        <v>574</v>
      </c>
      <c r="H66" t="s">
        <v>575</v>
      </c>
      <c r="I66" t="s">
        <v>298</v>
      </c>
      <c r="J66" t="s">
        <v>576</v>
      </c>
    </row>
    <row r="67" spans="1:10" x14ac:dyDescent="0.3">
      <c r="A67" s="2" t="s">
        <v>156</v>
      </c>
      <c r="B67">
        <v>1475.7</v>
      </c>
      <c r="C67">
        <v>8</v>
      </c>
      <c r="D67" t="s">
        <v>578</v>
      </c>
      <c r="E67" t="s">
        <v>572</v>
      </c>
      <c r="F67" t="s">
        <v>573</v>
      </c>
      <c r="G67" t="s">
        <v>574</v>
      </c>
      <c r="H67" t="s">
        <v>575</v>
      </c>
      <c r="I67" t="s">
        <v>298</v>
      </c>
      <c r="J67" t="s">
        <v>576</v>
      </c>
    </row>
    <row r="68" spans="1:10" x14ac:dyDescent="0.3">
      <c r="A68" s="2" t="s">
        <v>92</v>
      </c>
      <c r="B68">
        <v>1475.4</v>
      </c>
      <c r="C68">
        <v>20</v>
      </c>
      <c r="D68" t="s">
        <v>578</v>
      </c>
      <c r="E68" t="s">
        <v>572</v>
      </c>
      <c r="F68" t="s">
        <v>573</v>
      </c>
      <c r="G68" t="s">
        <v>574</v>
      </c>
      <c r="H68" t="s">
        <v>575</v>
      </c>
      <c r="I68" t="s">
        <v>298</v>
      </c>
      <c r="J68" t="s">
        <v>576</v>
      </c>
    </row>
    <row r="69" spans="1:10" x14ac:dyDescent="0.3">
      <c r="A69" s="2" t="s">
        <v>122</v>
      </c>
      <c r="B69">
        <v>1474.8</v>
      </c>
      <c r="C69">
        <v>13</v>
      </c>
      <c r="D69" t="s">
        <v>578</v>
      </c>
      <c r="E69" t="s">
        <v>572</v>
      </c>
      <c r="F69" t="s">
        <v>573</v>
      </c>
      <c r="G69" t="s">
        <v>574</v>
      </c>
      <c r="H69" t="s">
        <v>575</v>
      </c>
      <c r="I69" t="s">
        <v>298</v>
      </c>
      <c r="J69" t="s">
        <v>576</v>
      </c>
    </row>
    <row r="70" spans="1:10" x14ac:dyDescent="0.3">
      <c r="A70" s="2" t="s">
        <v>98</v>
      </c>
      <c r="B70">
        <v>1473.8</v>
      </c>
      <c r="C70">
        <v>20</v>
      </c>
      <c r="D70" t="s">
        <v>578</v>
      </c>
      <c r="E70" t="s">
        <v>572</v>
      </c>
      <c r="F70" t="s">
        <v>573</v>
      </c>
      <c r="G70" t="s">
        <v>574</v>
      </c>
      <c r="H70" t="s">
        <v>575</v>
      </c>
      <c r="I70" t="s">
        <v>298</v>
      </c>
      <c r="J70" t="s">
        <v>576</v>
      </c>
    </row>
    <row r="71" spans="1:10" x14ac:dyDescent="0.3">
      <c r="A71" s="2" t="s">
        <v>100</v>
      </c>
      <c r="B71">
        <v>1473.3</v>
      </c>
      <c r="C71">
        <v>12</v>
      </c>
      <c r="D71" t="s">
        <v>578</v>
      </c>
      <c r="E71" t="s">
        <v>572</v>
      </c>
      <c r="F71" t="s">
        <v>573</v>
      </c>
      <c r="G71" t="s">
        <v>574</v>
      </c>
      <c r="H71" t="s">
        <v>575</v>
      </c>
      <c r="I71" t="s">
        <v>298</v>
      </c>
      <c r="J71" t="s">
        <v>576</v>
      </c>
    </row>
    <row r="72" spans="1:10" x14ac:dyDescent="0.3">
      <c r="A72" s="2" t="s">
        <v>159</v>
      </c>
      <c r="B72">
        <v>1472.9</v>
      </c>
      <c r="C72">
        <v>5</v>
      </c>
      <c r="D72" t="s">
        <v>578</v>
      </c>
      <c r="E72" t="s">
        <v>572</v>
      </c>
      <c r="F72" t="s">
        <v>573</v>
      </c>
      <c r="G72" t="s">
        <v>574</v>
      </c>
      <c r="H72" t="s">
        <v>575</v>
      </c>
      <c r="I72" t="s">
        <v>298</v>
      </c>
      <c r="J72" t="s">
        <v>576</v>
      </c>
    </row>
    <row r="73" spans="1:10" x14ac:dyDescent="0.3">
      <c r="A73" s="2" t="s">
        <v>395</v>
      </c>
      <c r="B73">
        <v>1471.3</v>
      </c>
      <c r="C73">
        <v>2</v>
      </c>
      <c r="D73" t="s">
        <v>578</v>
      </c>
      <c r="E73" t="s">
        <v>572</v>
      </c>
      <c r="F73" t="s">
        <v>573</v>
      </c>
      <c r="G73" t="s">
        <v>574</v>
      </c>
      <c r="H73" t="s">
        <v>575</v>
      </c>
      <c r="I73" t="s">
        <v>298</v>
      </c>
      <c r="J73" t="s">
        <v>576</v>
      </c>
    </row>
    <row r="74" spans="1:10" x14ac:dyDescent="0.3">
      <c r="A74" s="2" t="s">
        <v>292</v>
      </c>
      <c r="B74">
        <v>1471.2</v>
      </c>
      <c r="C74">
        <v>5</v>
      </c>
      <c r="D74" t="s">
        <v>578</v>
      </c>
      <c r="E74" t="s">
        <v>572</v>
      </c>
      <c r="F74" t="s">
        <v>573</v>
      </c>
      <c r="G74" t="s">
        <v>574</v>
      </c>
      <c r="H74" t="s">
        <v>575</v>
      </c>
      <c r="I74" t="s">
        <v>298</v>
      </c>
      <c r="J74" t="s">
        <v>576</v>
      </c>
    </row>
    <row r="75" spans="1:10" x14ac:dyDescent="0.3">
      <c r="A75" s="2" t="s">
        <v>294</v>
      </c>
      <c r="B75">
        <v>1469.1</v>
      </c>
      <c r="C75">
        <v>4</v>
      </c>
      <c r="D75" t="s">
        <v>578</v>
      </c>
      <c r="E75" t="s">
        <v>572</v>
      </c>
      <c r="F75" t="s">
        <v>573</v>
      </c>
      <c r="G75" t="s">
        <v>574</v>
      </c>
      <c r="H75" t="s">
        <v>575</v>
      </c>
      <c r="I75" t="s">
        <v>298</v>
      </c>
      <c r="J75" t="s">
        <v>576</v>
      </c>
    </row>
    <row r="76" spans="1:10" x14ac:dyDescent="0.3">
      <c r="A76" s="2" t="s">
        <v>563</v>
      </c>
      <c r="B76">
        <v>1463.1</v>
      </c>
      <c r="C76">
        <v>12</v>
      </c>
      <c r="D76" t="s">
        <v>571</v>
      </c>
      <c r="E76" t="s">
        <v>572</v>
      </c>
      <c r="F76" t="s">
        <v>573</v>
      </c>
      <c r="G76" t="s">
        <v>574</v>
      </c>
      <c r="H76" t="s">
        <v>575</v>
      </c>
      <c r="I76" t="s">
        <v>298</v>
      </c>
      <c r="J76" t="s">
        <v>576</v>
      </c>
    </row>
    <row r="77" spans="1:10" x14ac:dyDescent="0.3">
      <c r="A77" s="2" t="s">
        <v>564</v>
      </c>
      <c r="B77">
        <v>1462</v>
      </c>
      <c r="C77">
        <v>12</v>
      </c>
      <c r="D77" t="s">
        <v>571</v>
      </c>
      <c r="E77" t="s">
        <v>572</v>
      </c>
      <c r="F77" t="s">
        <v>573</v>
      </c>
      <c r="G77" t="s">
        <v>574</v>
      </c>
      <c r="H77" t="s">
        <v>575</v>
      </c>
      <c r="I77" t="s">
        <v>298</v>
      </c>
      <c r="J77" t="s">
        <v>576</v>
      </c>
    </row>
    <row r="78" spans="1:10" x14ac:dyDescent="0.3">
      <c r="A78" s="2" t="s">
        <v>389</v>
      </c>
      <c r="B78">
        <v>1461.4</v>
      </c>
      <c r="C78">
        <v>2</v>
      </c>
      <c r="D78" t="s">
        <v>578</v>
      </c>
      <c r="E78" t="s">
        <v>572</v>
      </c>
      <c r="F78" t="s">
        <v>573</v>
      </c>
      <c r="G78" t="s">
        <v>574</v>
      </c>
      <c r="H78" t="s">
        <v>575</v>
      </c>
      <c r="I78" t="s">
        <v>298</v>
      </c>
      <c r="J78" t="s">
        <v>576</v>
      </c>
    </row>
    <row r="79" spans="1:10" x14ac:dyDescent="0.3">
      <c r="A79" s="2" t="s">
        <v>281</v>
      </c>
      <c r="B79">
        <v>1461.4</v>
      </c>
      <c r="C79">
        <v>6</v>
      </c>
      <c r="D79" t="s">
        <v>578</v>
      </c>
      <c r="E79" t="s">
        <v>572</v>
      </c>
      <c r="F79" t="s">
        <v>573</v>
      </c>
      <c r="G79" t="s">
        <v>574</v>
      </c>
      <c r="H79" t="s">
        <v>575</v>
      </c>
      <c r="I79" t="s">
        <v>298</v>
      </c>
      <c r="J79" t="s">
        <v>576</v>
      </c>
    </row>
    <row r="80" spans="1:10" x14ac:dyDescent="0.3">
      <c r="A80" s="2" t="s">
        <v>102</v>
      </c>
      <c r="B80">
        <v>1460.6</v>
      </c>
      <c r="C80">
        <v>19</v>
      </c>
      <c r="D80" t="s">
        <v>578</v>
      </c>
      <c r="E80" t="s">
        <v>572</v>
      </c>
      <c r="F80" t="s">
        <v>573</v>
      </c>
      <c r="G80" t="s">
        <v>574</v>
      </c>
      <c r="H80" t="s">
        <v>575</v>
      </c>
      <c r="I80" t="s">
        <v>298</v>
      </c>
      <c r="J80" t="s">
        <v>576</v>
      </c>
    </row>
    <row r="81" spans="1:10" x14ac:dyDescent="0.3">
      <c r="A81" s="2" t="s">
        <v>380</v>
      </c>
      <c r="B81">
        <v>1456.8</v>
      </c>
      <c r="C81">
        <v>3</v>
      </c>
      <c r="D81" t="s">
        <v>578</v>
      </c>
      <c r="E81" t="s">
        <v>572</v>
      </c>
      <c r="F81" t="s">
        <v>573</v>
      </c>
      <c r="G81" t="s">
        <v>574</v>
      </c>
      <c r="H81" t="s">
        <v>575</v>
      </c>
      <c r="I81" t="s">
        <v>298</v>
      </c>
      <c r="J81" t="s">
        <v>576</v>
      </c>
    </row>
    <row r="82" spans="1:10" x14ac:dyDescent="0.3">
      <c r="A82" s="2" t="s">
        <v>142</v>
      </c>
      <c r="B82">
        <v>1454.1</v>
      </c>
      <c r="C82">
        <v>9</v>
      </c>
      <c r="D82" t="s">
        <v>578</v>
      </c>
      <c r="E82" t="s">
        <v>572</v>
      </c>
      <c r="F82" t="s">
        <v>573</v>
      </c>
      <c r="G82" t="s">
        <v>574</v>
      </c>
      <c r="H82" t="s">
        <v>579</v>
      </c>
      <c r="I82" t="s">
        <v>300</v>
      </c>
      <c r="J82" t="s">
        <v>143</v>
      </c>
    </row>
    <row r="83" spans="1:10" x14ac:dyDescent="0.3">
      <c r="A83" s="2" t="s">
        <v>566</v>
      </c>
      <c r="B83">
        <v>1453.5</v>
      </c>
      <c r="C83">
        <v>12</v>
      </c>
      <c r="D83" t="s">
        <v>571</v>
      </c>
      <c r="E83" t="s">
        <v>572</v>
      </c>
      <c r="F83" t="s">
        <v>573</v>
      </c>
      <c r="G83" t="s">
        <v>574</v>
      </c>
      <c r="H83" t="s">
        <v>575</v>
      </c>
      <c r="I83" t="s">
        <v>298</v>
      </c>
      <c r="J83" t="s">
        <v>576</v>
      </c>
    </row>
    <row r="84" spans="1:10" x14ac:dyDescent="0.3">
      <c r="A84" s="2" t="s">
        <v>290</v>
      </c>
      <c r="B84">
        <v>1453.3</v>
      </c>
      <c r="C84">
        <v>5</v>
      </c>
      <c r="D84" t="s">
        <v>578</v>
      </c>
      <c r="E84" t="s">
        <v>572</v>
      </c>
      <c r="F84" t="s">
        <v>573</v>
      </c>
      <c r="G84" t="s">
        <v>574</v>
      </c>
      <c r="H84" t="s">
        <v>575</v>
      </c>
      <c r="I84" t="s">
        <v>298</v>
      </c>
      <c r="J84" t="s">
        <v>576</v>
      </c>
    </row>
    <row r="85" spans="1:10" x14ac:dyDescent="0.3">
      <c r="A85" s="2" t="s">
        <v>392</v>
      </c>
      <c r="B85">
        <v>1453.2</v>
      </c>
      <c r="C85">
        <v>2</v>
      </c>
      <c r="D85" t="s">
        <v>578</v>
      </c>
      <c r="E85" t="s">
        <v>572</v>
      </c>
      <c r="F85" t="s">
        <v>573</v>
      </c>
      <c r="G85" t="s">
        <v>574</v>
      </c>
      <c r="H85" t="s">
        <v>575</v>
      </c>
      <c r="I85" t="s">
        <v>298</v>
      </c>
      <c r="J85" t="s">
        <v>576</v>
      </c>
    </row>
    <row r="86" spans="1:10" x14ac:dyDescent="0.3">
      <c r="A86" s="2" t="s">
        <v>280</v>
      </c>
      <c r="B86">
        <v>1451.3</v>
      </c>
      <c r="C86">
        <v>6</v>
      </c>
      <c r="D86" t="s">
        <v>578</v>
      </c>
      <c r="E86" t="s">
        <v>572</v>
      </c>
      <c r="F86" t="s">
        <v>573</v>
      </c>
      <c r="G86" t="s">
        <v>574</v>
      </c>
      <c r="H86" t="s">
        <v>575</v>
      </c>
      <c r="I86" t="s">
        <v>298</v>
      </c>
      <c r="J86" t="s">
        <v>576</v>
      </c>
    </row>
    <row r="87" spans="1:10" x14ac:dyDescent="0.3">
      <c r="A87" s="2" t="s">
        <v>567</v>
      </c>
      <c r="B87">
        <v>1450</v>
      </c>
      <c r="C87">
        <v>9</v>
      </c>
      <c r="D87" t="s">
        <v>571</v>
      </c>
      <c r="E87" t="s">
        <v>572</v>
      </c>
      <c r="F87" t="s">
        <v>573</v>
      </c>
      <c r="G87" t="s">
        <v>574</v>
      </c>
      <c r="H87" t="s">
        <v>575</v>
      </c>
      <c r="I87" t="s">
        <v>298</v>
      </c>
      <c r="J87" t="s">
        <v>576</v>
      </c>
    </row>
    <row r="88" spans="1:10" x14ac:dyDescent="0.3">
      <c r="A88" s="2" t="s">
        <v>168</v>
      </c>
      <c r="B88">
        <v>1449.6</v>
      </c>
      <c r="C88">
        <v>22</v>
      </c>
      <c r="D88" t="s">
        <v>578</v>
      </c>
      <c r="E88" t="s">
        <v>572</v>
      </c>
      <c r="F88" t="s">
        <v>573</v>
      </c>
      <c r="G88" t="s">
        <v>574</v>
      </c>
      <c r="H88" t="s">
        <v>575</v>
      </c>
      <c r="I88" t="s">
        <v>298</v>
      </c>
      <c r="J88" t="s">
        <v>576</v>
      </c>
    </row>
    <row r="89" spans="1:10" x14ac:dyDescent="0.3">
      <c r="A89" s="2" t="s">
        <v>404</v>
      </c>
      <c r="B89">
        <v>1447.4</v>
      </c>
      <c r="C89" t="s">
        <v>299</v>
      </c>
      <c r="D89" t="s">
        <v>577</v>
      </c>
      <c r="E89" t="s">
        <v>572</v>
      </c>
      <c r="F89" t="s">
        <v>573</v>
      </c>
      <c r="G89" t="s">
        <v>574</v>
      </c>
      <c r="H89" t="s">
        <v>575</v>
      </c>
      <c r="I89" t="s">
        <v>298</v>
      </c>
      <c r="J89" t="s">
        <v>576</v>
      </c>
    </row>
    <row r="90" spans="1:10" x14ac:dyDescent="0.3">
      <c r="A90" s="2" t="s">
        <v>402</v>
      </c>
      <c r="B90">
        <v>1442.2</v>
      </c>
      <c r="C90" t="s">
        <v>299</v>
      </c>
      <c r="D90" t="s">
        <v>577</v>
      </c>
      <c r="E90" t="s">
        <v>572</v>
      </c>
      <c r="F90" t="s">
        <v>573</v>
      </c>
      <c r="G90" t="s">
        <v>574</v>
      </c>
      <c r="H90" t="s">
        <v>575</v>
      </c>
      <c r="I90" t="s">
        <v>298</v>
      </c>
      <c r="J90" t="s">
        <v>576</v>
      </c>
    </row>
    <row r="91" spans="1:10" x14ac:dyDescent="0.3">
      <c r="A91" s="2" t="s">
        <v>167</v>
      </c>
      <c r="B91">
        <v>1441.2</v>
      </c>
      <c r="C91">
        <v>22</v>
      </c>
      <c r="D91" t="s">
        <v>578</v>
      </c>
      <c r="E91" t="s">
        <v>572</v>
      </c>
      <c r="F91" t="s">
        <v>573</v>
      </c>
      <c r="G91" t="s">
        <v>574</v>
      </c>
      <c r="H91" t="s">
        <v>575</v>
      </c>
      <c r="I91" t="s">
        <v>298</v>
      </c>
      <c r="J91" t="s">
        <v>576</v>
      </c>
    </row>
    <row r="92" spans="1:10" x14ac:dyDescent="0.3">
      <c r="A92" s="2" t="s">
        <v>171</v>
      </c>
      <c r="B92">
        <v>1435.6</v>
      </c>
      <c r="C92">
        <v>22</v>
      </c>
      <c r="D92" t="s">
        <v>578</v>
      </c>
      <c r="E92" t="s">
        <v>572</v>
      </c>
      <c r="F92" t="s">
        <v>573</v>
      </c>
      <c r="G92" t="s">
        <v>574</v>
      </c>
      <c r="H92" t="s">
        <v>575</v>
      </c>
      <c r="I92" t="s">
        <v>298</v>
      </c>
      <c r="J92" t="s">
        <v>576</v>
      </c>
    </row>
    <row r="93" spans="1:10" x14ac:dyDescent="0.3">
      <c r="A93" s="2" t="s">
        <v>175</v>
      </c>
      <c r="B93">
        <v>1434.7</v>
      </c>
      <c r="C93">
        <v>23</v>
      </c>
      <c r="D93" t="s">
        <v>578</v>
      </c>
      <c r="E93" t="s">
        <v>572</v>
      </c>
      <c r="F93" t="s">
        <v>573</v>
      </c>
      <c r="G93" t="s">
        <v>574</v>
      </c>
      <c r="H93" t="s">
        <v>575</v>
      </c>
      <c r="I93" t="s">
        <v>298</v>
      </c>
      <c r="J93" t="s">
        <v>576</v>
      </c>
    </row>
    <row r="94" spans="1:10" x14ac:dyDescent="0.3">
      <c r="A94" s="2" t="s">
        <v>173</v>
      </c>
      <c r="B94">
        <v>1434</v>
      </c>
      <c r="C94">
        <v>23</v>
      </c>
      <c r="D94" t="s">
        <v>578</v>
      </c>
      <c r="E94" t="s">
        <v>572</v>
      </c>
      <c r="F94" t="s">
        <v>573</v>
      </c>
      <c r="G94" t="s">
        <v>574</v>
      </c>
      <c r="H94" t="s">
        <v>575</v>
      </c>
      <c r="I94" t="s">
        <v>298</v>
      </c>
      <c r="J94" t="s">
        <v>576</v>
      </c>
    </row>
    <row r="95" spans="1:10" x14ac:dyDescent="0.3">
      <c r="A95" s="2" t="s">
        <v>93</v>
      </c>
      <c r="B95">
        <v>1429.6</v>
      </c>
      <c r="C95">
        <v>20</v>
      </c>
      <c r="D95" t="s">
        <v>578</v>
      </c>
      <c r="E95" t="s">
        <v>572</v>
      </c>
      <c r="F95" t="s">
        <v>573</v>
      </c>
      <c r="G95" t="s">
        <v>574</v>
      </c>
      <c r="H95" t="s">
        <v>575</v>
      </c>
      <c r="I95" t="s">
        <v>298</v>
      </c>
      <c r="J95" t="s">
        <v>576</v>
      </c>
    </row>
    <row r="96" spans="1:10" x14ac:dyDescent="0.3">
      <c r="A96" s="2" t="s">
        <v>164</v>
      </c>
      <c r="B96">
        <v>1426</v>
      </c>
      <c r="C96">
        <v>21</v>
      </c>
      <c r="D96" t="s">
        <v>578</v>
      </c>
      <c r="E96" t="s">
        <v>572</v>
      </c>
      <c r="F96" t="s">
        <v>573</v>
      </c>
      <c r="G96" t="s">
        <v>574</v>
      </c>
      <c r="H96" t="s">
        <v>575</v>
      </c>
      <c r="I96" t="s">
        <v>298</v>
      </c>
      <c r="J96" t="s">
        <v>576</v>
      </c>
    </row>
    <row r="97" spans="1:10" x14ac:dyDescent="0.3">
      <c r="A97" s="2" t="s">
        <v>169</v>
      </c>
      <c r="B97">
        <v>1424</v>
      </c>
      <c r="C97">
        <v>22</v>
      </c>
      <c r="D97" t="s">
        <v>578</v>
      </c>
      <c r="E97" t="s">
        <v>572</v>
      </c>
      <c r="F97" t="s">
        <v>573</v>
      </c>
      <c r="G97" t="s">
        <v>574</v>
      </c>
      <c r="H97" t="s">
        <v>575</v>
      </c>
      <c r="I97" t="s">
        <v>298</v>
      </c>
      <c r="J97" t="s">
        <v>576</v>
      </c>
    </row>
    <row r="98" spans="1:10" x14ac:dyDescent="0.3">
      <c r="A98" s="2" t="s">
        <v>166</v>
      </c>
      <c r="B98">
        <v>1419.7</v>
      </c>
      <c r="C98">
        <v>22</v>
      </c>
      <c r="D98" t="s">
        <v>578</v>
      </c>
      <c r="E98" t="s">
        <v>572</v>
      </c>
      <c r="F98" t="s">
        <v>573</v>
      </c>
      <c r="G98" t="s">
        <v>574</v>
      </c>
      <c r="H98" t="s">
        <v>575</v>
      </c>
      <c r="I98" t="s">
        <v>298</v>
      </c>
      <c r="J98" t="s">
        <v>576</v>
      </c>
    </row>
    <row r="99" spans="1:10" x14ac:dyDescent="0.3">
      <c r="A99" s="2" t="s">
        <v>174</v>
      </c>
      <c r="B99">
        <v>1403.6</v>
      </c>
      <c r="C99">
        <v>23</v>
      </c>
      <c r="D99" t="s">
        <v>578</v>
      </c>
      <c r="E99" t="s">
        <v>572</v>
      </c>
      <c r="F99" t="s">
        <v>573</v>
      </c>
      <c r="G99" t="s">
        <v>574</v>
      </c>
      <c r="H99" t="s">
        <v>575</v>
      </c>
      <c r="I99" t="s">
        <v>298</v>
      </c>
      <c r="J99" t="s">
        <v>576</v>
      </c>
    </row>
    <row r="100" spans="1:10" x14ac:dyDescent="0.3">
      <c r="A100" s="2" t="s">
        <v>165</v>
      </c>
      <c r="B100">
        <v>1394.7</v>
      </c>
      <c r="C100">
        <v>22</v>
      </c>
      <c r="D100" t="s">
        <v>578</v>
      </c>
      <c r="E100" t="s">
        <v>572</v>
      </c>
      <c r="F100" t="s">
        <v>573</v>
      </c>
      <c r="G100" t="s">
        <v>574</v>
      </c>
      <c r="H100" t="s">
        <v>575</v>
      </c>
      <c r="I100" t="s">
        <v>298</v>
      </c>
      <c r="J100" t="s">
        <v>576</v>
      </c>
    </row>
    <row r="101" spans="1:10" x14ac:dyDescent="0.3">
      <c r="A101" s="2" t="s">
        <v>170</v>
      </c>
      <c r="B101">
        <v>1394</v>
      </c>
      <c r="C101">
        <v>22</v>
      </c>
      <c r="D101" t="s">
        <v>578</v>
      </c>
      <c r="E101" t="s">
        <v>572</v>
      </c>
      <c r="F101" t="s">
        <v>573</v>
      </c>
      <c r="G101" t="s">
        <v>574</v>
      </c>
      <c r="H101" t="s">
        <v>575</v>
      </c>
      <c r="I101" t="s">
        <v>298</v>
      </c>
      <c r="J101" t="s">
        <v>576</v>
      </c>
    </row>
    <row r="102" spans="1:10" x14ac:dyDescent="0.3">
      <c r="A102" s="2" t="s">
        <v>172</v>
      </c>
      <c r="B102">
        <v>1394</v>
      </c>
      <c r="C102">
        <v>23</v>
      </c>
      <c r="D102" t="s">
        <v>578</v>
      </c>
      <c r="E102" t="s">
        <v>572</v>
      </c>
      <c r="F102" t="s">
        <v>573</v>
      </c>
      <c r="G102" t="s">
        <v>574</v>
      </c>
      <c r="H102" t="s">
        <v>575</v>
      </c>
      <c r="I102" t="s">
        <v>298</v>
      </c>
      <c r="J102" t="s">
        <v>576</v>
      </c>
    </row>
    <row r="103" spans="1:10" x14ac:dyDescent="0.3">
      <c r="A103" s="2" t="s">
        <v>187</v>
      </c>
      <c r="B103">
        <v>1393.3</v>
      </c>
      <c r="C103" t="s">
        <v>299</v>
      </c>
      <c r="D103" t="s">
        <v>580</v>
      </c>
      <c r="E103" t="s">
        <v>572</v>
      </c>
      <c r="F103" t="s">
        <v>573</v>
      </c>
      <c r="G103" t="s">
        <v>574</v>
      </c>
      <c r="H103" t="s">
        <v>575</v>
      </c>
      <c r="I103" t="s">
        <v>298</v>
      </c>
      <c r="J103" t="s">
        <v>576</v>
      </c>
    </row>
    <row r="104" spans="1:10" x14ac:dyDescent="0.3">
      <c r="A104" s="2" t="s">
        <v>204</v>
      </c>
      <c r="B104">
        <v>1388.5</v>
      </c>
      <c r="C104" t="s">
        <v>299</v>
      </c>
      <c r="D104" t="s">
        <v>580</v>
      </c>
      <c r="E104" t="s">
        <v>572</v>
      </c>
      <c r="F104" t="s">
        <v>573</v>
      </c>
      <c r="G104" t="s">
        <v>574</v>
      </c>
      <c r="H104" t="s">
        <v>575</v>
      </c>
      <c r="I104" t="s">
        <v>298</v>
      </c>
      <c r="J104" t="s">
        <v>576</v>
      </c>
    </row>
    <row r="105" spans="1:10" x14ac:dyDescent="0.3">
      <c r="A105" s="2" t="s">
        <v>177</v>
      </c>
      <c r="B105">
        <v>1382.8</v>
      </c>
      <c r="C105">
        <v>24</v>
      </c>
      <c r="D105" t="s">
        <v>578</v>
      </c>
      <c r="E105" t="s">
        <v>572</v>
      </c>
      <c r="F105" t="s">
        <v>573</v>
      </c>
      <c r="G105" t="s">
        <v>574</v>
      </c>
      <c r="H105" t="s">
        <v>575</v>
      </c>
      <c r="I105" t="s">
        <v>298</v>
      </c>
      <c r="J105" t="s">
        <v>576</v>
      </c>
    </row>
    <row r="106" spans="1:10" x14ac:dyDescent="0.3">
      <c r="A106" s="2" t="s">
        <v>190</v>
      </c>
      <c r="B106">
        <v>1382.4</v>
      </c>
      <c r="C106" t="s">
        <v>299</v>
      </c>
      <c r="D106" t="s">
        <v>580</v>
      </c>
      <c r="E106" t="s">
        <v>572</v>
      </c>
      <c r="F106" t="s">
        <v>573</v>
      </c>
      <c r="G106" t="s">
        <v>574</v>
      </c>
      <c r="H106" t="s">
        <v>575</v>
      </c>
      <c r="I106" t="s">
        <v>298</v>
      </c>
      <c r="J106" t="s">
        <v>576</v>
      </c>
    </row>
    <row r="107" spans="1:10" x14ac:dyDescent="0.3">
      <c r="A107" s="2" t="s">
        <v>176</v>
      </c>
      <c r="B107">
        <v>1379</v>
      </c>
      <c r="C107">
        <v>23</v>
      </c>
      <c r="D107" t="s">
        <v>578</v>
      </c>
      <c r="E107" t="s">
        <v>572</v>
      </c>
      <c r="F107" t="s">
        <v>573</v>
      </c>
      <c r="G107" t="s">
        <v>574</v>
      </c>
      <c r="H107" t="s">
        <v>575</v>
      </c>
      <c r="I107" t="s">
        <v>298</v>
      </c>
      <c r="J107" t="s">
        <v>576</v>
      </c>
    </row>
    <row r="108" spans="1:10" x14ac:dyDescent="0.3">
      <c r="A108" s="2" t="s">
        <v>184</v>
      </c>
      <c r="B108">
        <v>1373.9</v>
      </c>
      <c r="C108" t="s">
        <v>299</v>
      </c>
      <c r="D108" t="s">
        <v>580</v>
      </c>
      <c r="E108" t="s">
        <v>572</v>
      </c>
      <c r="F108" t="s">
        <v>573</v>
      </c>
      <c r="G108" t="s">
        <v>574</v>
      </c>
      <c r="H108" t="s">
        <v>575</v>
      </c>
      <c r="I108" t="s">
        <v>298</v>
      </c>
      <c r="J108" t="s">
        <v>576</v>
      </c>
    </row>
    <row r="109" spans="1:10" x14ac:dyDescent="0.3">
      <c r="A109" s="2" t="s">
        <v>194</v>
      </c>
      <c r="B109">
        <v>1373.6</v>
      </c>
      <c r="C109" t="s">
        <v>299</v>
      </c>
      <c r="D109" t="s">
        <v>580</v>
      </c>
      <c r="E109" t="s">
        <v>572</v>
      </c>
      <c r="F109" t="s">
        <v>573</v>
      </c>
      <c r="G109" t="s">
        <v>574</v>
      </c>
      <c r="H109" t="s">
        <v>575</v>
      </c>
      <c r="I109" t="s">
        <v>298</v>
      </c>
      <c r="J109" t="s">
        <v>576</v>
      </c>
    </row>
    <row r="110" spans="1:10" x14ac:dyDescent="0.3">
      <c r="A110" s="2" t="s">
        <v>182</v>
      </c>
      <c r="B110">
        <v>1373.5</v>
      </c>
      <c r="C110">
        <v>25</v>
      </c>
      <c r="D110" t="s">
        <v>578</v>
      </c>
      <c r="E110" t="s">
        <v>572</v>
      </c>
      <c r="F110" t="s">
        <v>573</v>
      </c>
      <c r="G110" t="s">
        <v>574</v>
      </c>
      <c r="H110" t="s">
        <v>575</v>
      </c>
      <c r="I110" t="s">
        <v>298</v>
      </c>
      <c r="J110" t="s">
        <v>576</v>
      </c>
    </row>
    <row r="111" spans="1:10" x14ac:dyDescent="0.3">
      <c r="A111" s="2" t="s">
        <v>179</v>
      </c>
      <c r="B111">
        <v>1369.2</v>
      </c>
      <c r="C111">
        <v>24</v>
      </c>
      <c r="D111" t="s">
        <v>578</v>
      </c>
      <c r="E111" t="s">
        <v>572</v>
      </c>
      <c r="F111" t="s">
        <v>573</v>
      </c>
      <c r="G111" t="s">
        <v>574</v>
      </c>
      <c r="H111" t="s">
        <v>575</v>
      </c>
      <c r="I111" t="s">
        <v>298</v>
      </c>
      <c r="J111" t="s">
        <v>576</v>
      </c>
    </row>
    <row r="112" spans="1:10" x14ac:dyDescent="0.3">
      <c r="A112" s="2" t="s">
        <v>191</v>
      </c>
      <c r="B112">
        <v>1368.5</v>
      </c>
      <c r="C112" t="s">
        <v>299</v>
      </c>
      <c r="D112" t="s">
        <v>580</v>
      </c>
      <c r="E112" t="s">
        <v>572</v>
      </c>
      <c r="F112" t="s">
        <v>573</v>
      </c>
      <c r="G112" t="s">
        <v>574</v>
      </c>
      <c r="H112" t="s">
        <v>575</v>
      </c>
      <c r="I112" t="s">
        <v>298</v>
      </c>
      <c r="J112" t="s">
        <v>576</v>
      </c>
    </row>
    <row r="113" spans="1:10" x14ac:dyDescent="0.3">
      <c r="A113" s="2" t="s">
        <v>195</v>
      </c>
      <c r="B113">
        <v>1367.9</v>
      </c>
      <c r="C113" t="s">
        <v>299</v>
      </c>
      <c r="D113" t="s">
        <v>580</v>
      </c>
      <c r="E113" t="s">
        <v>572</v>
      </c>
      <c r="F113" t="s">
        <v>573</v>
      </c>
      <c r="G113" t="s">
        <v>574</v>
      </c>
      <c r="H113" t="s">
        <v>575</v>
      </c>
      <c r="I113" t="s">
        <v>298</v>
      </c>
      <c r="J113" t="s">
        <v>576</v>
      </c>
    </row>
    <row r="114" spans="1:10" x14ac:dyDescent="0.3">
      <c r="A114" s="2" t="s">
        <v>201</v>
      </c>
      <c r="B114">
        <v>1367.7</v>
      </c>
      <c r="C114" t="s">
        <v>299</v>
      </c>
      <c r="D114" t="s">
        <v>580</v>
      </c>
      <c r="E114" t="s">
        <v>572</v>
      </c>
      <c r="F114" t="s">
        <v>573</v>
      </c>
      <c r="G114" t="s">
        <v>574</v>
      </c>
      <c r="H114" t="s">
        <v>575</v>
      </c>
      <c r="I114" t="s">
        <v>298</v>
      </c>
      <c r="J114" t="s">
        <v>576</v>
      </c>
    </row>
    <row r="115" spans="1:10" x14ac:dyDescent="0.3">
      <c r="A115" s="2" t="s">
        <v>185</v>
      </c>
      <c r="B115">
        <v>1364.6</v>
      </c>
      <c r="C115" t="s">
        <v>299</v>
      </c>
      <c r="D115" t="s">
        <v>580</v>
      </c>
      <c r="E115" t="s">
        <v>572</v>
      </c>
      <c r="F115" t="s">
        <v>573</v>
      </c>
      <c r="G115" t="s">
        <v>574</v>
      </c>
      <c r="H115" t="s">
        <v>575</v>
      </c>
      <c r="I115" t="s">
        <v>298</v>
      </c>
      <c r="J115" t="s">
        <v>576</v>
      </c>
    </row>
    <row r="116" spans="1:10" x14ac:dyDescent="0.3">
      <c r="A116" s="2" t="s">
        <v>178</v>
      </c>
      <c r="B116">
        <v>1358.8</v>
      </c>
      <c r="C116">
        <v>24</v>
      </c>
      <c r="D116" t="s">
        <v>578</v>
      </c>
      <c r="E116" t="s">
        <v>572</v>
      </c>
      <c r="F116" t="s">
        <v>573</v>
      </c>
      <c r="G116" t="s">
        <v>574</v>
      </c>
      <c r="H116" t="s">
        <v>575</v>
      </c>
      <c r="I116" t="s">
        <v>298</v>
      </c>
      <c r="J116" t="s">
        <v>576</v>
      </c>
    </row>
    <row r="117" spans="1:10" x14ac:dyDescent="0.3">
      <c r="A117" s="2" t="s">
        <v>197</v>
      </c>
      <c r="B117">
        <v>1358.7</v>
      </c>
      <c r="C117" t="s">
        <v>299</v>
      </c>
      <c r="D117" t="s">
        <v>580</v>
      </c>
      <c r="E117" t="s">
        <v>572</v>
      </c>
      <c r="F117" t="s">
        <v>573</v>
      </c>
      <c r="G117" t="s">
        <v>574</v>
      </c>
      <c r="H117" t="s">
        <v>575</v>
      </c>
      <c r="I117" t="s">
        <v>298</v>
      </c>
      <c r="J117" t="s">
        <v>576</v>
      </c>
    </row>
    <row r="118" spans="1:10" x14ac:dyDescent="0.3">
      <c r="A118" s="2" t="s">
        <v>220</v>
      </c>
      <c r="B118">
        <v>1355</v>
      </c>
      <c r="C118" t="s">
        <v>299</v>
      </c>
      <c r="D118" t="s">
        <v>580</v>
      </c>
      <c r="E118" t="s">
        <v>572</v>
      </c>
      <c r="F118" t="s">
        <v>573</v>
      </c>
      <c r="G118" t="s">
        <v>574</v>
      </c>
      <c r="H118" t="s">
        <v>575</v>
      </c>
      <c r="I118" t="s">
        <v>298</v>
      </c>
      <c r="J118" t="s">
        <v>576</v>
      </c>
    </row>
    <row r="119" spans="1:10" x14ac:dyDescent="0.3">
      <c r="A119" s="2" t="s">
        <v>183</v>
      </c>
      <c r="B119">
        <v>1353.2</v>
      </c>
      <c r="C119">
        <v>25</v>
      </c>
      <c r="D119" t="s">
        <v>578</v>
      </c>
      <c r="E119" t="s">
        <v>572</v>
      </c>
      <c r="F119" t="s">
        <v>573</v>
      </c>
      <c r="G119" t="s">
        <v>574</v>
      </c>
      <c r="H119" t="s">
        <v>575</v>
      </c>
      <c r="I119" t="s">
        <v>298</v>
      </c>
      <c r="J119" t="s">
        <v>576</v>
      </c>
    </row>
    <row r="120" spans="1:10" x14ac:dyDescent="0.3">
      <c r="A120" s="2" t="s">
        <v>200</v>
      </c>
      <c r="B120">
        <v>1352.5</v>
      </c>
      <c r="C120" t="s">
        <v>299</v>
      </c>
      <c r="D120" t="s">
        <v>580</v>
      </c>
      <c r="E120" t="s">
        <v>572</v>
      </c>
      <c r="F120" t="s">
        <v>573</v>
      </c>
      <c r="G120" t="s">
        <v>574</v>
      </c>
      <c r="H120" t="s">
        <v>575</v>
      </c>
      <c r="I120" t="s">
        <v>298</v>
      </c>
      <c r="J120" t="s">
        <v>576</v>
      </c>
    </row>
    <row r="121" spans="1:10" x14ac:dyDescent="0.3">
      <c r="A121" s="2" t="s">
        <v>227</v>
      </c>
      <c r="B121">
        <v>1352</v>
      </c>
      <c r="C121" t="s">
        <v>299</v>
      </c>
      <c r="D121" t="s">
        <v>580</v>
      </c>
      <c r="E121" t="s">
        <v>572</v>
      </c>
      <c r="F121" t="s">
        <v>573</v>
      </c>
      <c r="G121" t="s">
        <v>574</v>
      </c>
      <c r="H121" t="s">
        <v>575</v>
      </c>
      <c r="I121" t="s">
        <v>298</v>
      </c>
      <c r="J121" t="s">
        <v>576</v>
      </c>
    </row>
    <row r="122" spans="1:10" x14ac:dyDescent="0.3">
      <c r="A122" s="2" t="s">
        <v>182</v>
      </c>
      <c r="B122">
        <v>1350.1</v>
      </c>
      <c r="C122">
        <v>25</v>
      </c>
      <c r="D122" t="s">
        <v>578</v>
      </c>
      <c r="E122" t="s">
        <v>572</v>
      </c>
      <c r="F122" t="s">
        <v>573</v>
      </c>
      <c r="G122" t="s">
        <v>574</v>
      </c>
      <c r="H122" t="s">
        <v>575</v>
      </c>
      <c r="I122" t="s">
        <v>298</v>
      </c>
      <c r="J122" t="s">
        <v>576</v>
      </c>
    </row>
    <row r="123" spans="1:10" x14ac:dyDescent="0.3">
      <c r="A123" s="2" t="s">
        <v>216</v>
      </c>
      <c r="B123">
        <v>1349.3</v>
      </c>
      <c r="C123" t="s">
        <v>299</v>
      </c>
      <c r="D123" t="s">
        <v>580</v>
      </c>
      <c r="E123" t="s">
        <v>572</v>
      </c>
      <c r="F123" t="s">
        <v>573</v>
      </c>
      <c r="G123" t="s">
        <v>574</v>
      </c>
      <c r="H123" t="s">
        <v>575</v>
      </c>
      <c r="I123" t="s">
        <v>298</v>
      </c>
      <c r="J123" t="s">
        <v>576</v>
      </c>
    </row>
    <row r="124" spans="1:10" x14ac:dyDescent="0.3">
      <c r="A124" s="2" t="s">
        <v>217</v>
      </c>
      <c r="B124">
        <v>1348.7</v>
      </c>
      <c r="C124" t="s">
        <v>299</v>
      </c>
      <c r="D124" t="s">
        <v>580</v>
      </c>
      <c r="E124" t="s">
        <v>572</v>
      </c>
      <c r="F124" t="s">
        <v>573</v>
      </c>
      <c r="G124" t="s">
        <v>574</v>
      </c>
      <c r="H124" t="s">
        <v>575</v>
      </c>
      <c r="I124" t="s">
        <v>298</v>
      </c>
      <c r="J124" t="s">
        <v>576</v>
      </c>
    </row>
    <row r="125" spans="1:10" x14ac:dyDescent="0.3">
      <c r="A125" s="2" t="s">
        <v>231</v>
      </c>
      <c r="B125">
        <v>1347.8</v>
      </c>
      <c r="C125" t="s">
        <v>299</v>
      </c>
      <c r="D125" t="s">
        <v>580</v>
      </c>
      <c r="E125" t="s">
        <v>572</v>
      </c>
      <c r="F125" t="s">
        <v>573</v>
      </c>
      <c r="G125" t="s">
        <v>574</v>
      </c>
      <c r="H125" t="s">
        <v>575</v>
      </c>
      <c r="I125" t="s">
        <v>298</v>
      </c>
      <c r="J125" t="s">
        <v>576</v>
      </c>
    </row>
    <row r="126" spans="1:10" x14ac:dyDescent="0.3">
      <c r="A126" s="2" t="s">
        <v>163</v>
      </c>
      <c r="B126">
        <v>1347.7</v>
      </c>
      <c r="C126">
        <v>20</v>
      </c>
      <c r="D126" t="s">
        <v>578</v>
      </c>
      <c r="E126" t="s">
        <v>572</v>
      </c>
      <c r="F126" t="s">
        <v>573</v>
      </c>
      <c r="G126" t="s">
        <v>574</v>
      </c>
      <c r="H126" t="s">
        <v>575</v>
      </c>
      <c r="I126" t="s">
        <v>298</v>
      </c>
      <c r="J126" t="s">
        <v>576</v>
      </c>
    </row>
    <row r="127" spans="1:10" x14ac:dyDescent="0.3">
      <c r="A127" s="2" t="s">
        <v>210</v>
      </c>
      <c r="B127">
        <v>1344.1</v>
      </c>
      <c r="C127" t="s">
        <v>299</v>
      </c>
      <c r="D127" t="s">
        <v>580</v>
      </c>
      <c r="E127" t="s">
        <v>572</v>
      </c>
      <c r="F127" t="s">
        <v>573</v>
      </c>
      <c r="G127" t="s">
        <v>574</v>
      </c>
      <c r="H127" t="s">
        <v>575</v>
      </c>
      <c r="I127" t="s">
        <v>298</v>
      </c>
      <c r="J127" t="s">
        <v>576</v>
      </c>
    </row>
    <row r="128" spans="1:10" x14ac:dyDescent="0.3">
      <c r="A128" s="2" t="s">
        <v>228</v>
      </c>
      <c r="B128">
        <v>1343.7</v>
      </c>
      <c r="C128" t="s">
        <v>299</v>
      </c>
      <c r="D128" t="s">
        <v>580</v>
      </c>
      <c r="E128" t="s">
        <v>572</v>
      </c>
      <c r="F128" t="s">
        <v>573</v>
      </c>
      <c r="G128" t="s">
        <v>574</v>
      </c>
      <c r="H128" t="s">
        <v>575</v>
      </c>
      <c r="I128" t="s">
        <v>298</v>
      </c>
      <c r="J128" t="s">
        <v>576</v>
      </c>
    </row>
    <row r="129" spans="1:10" x14ac:dyDescent="0.3">
      <c r="A129" s="2" t="s">
        <v>211</v>
      </c>
      <c r="B129">
        <v>1343.5</v>
      </c>
      <c r="C129" t="s">
        <v>299</v>
      </c>
      <c r="D129" t="s">
        <v>580</v>
      </c>
      <c r="E129" t="s">
        <v>572</v>
      </c>
      <c r="F129" t="s">
        <v>573</v>
      </c>
      <c r="G129" t="s">
        <v>574</v>
      </c>
      <c r="H129" t="s">
        <v>575</v>
      </c>
      <c r="I129" t="s">
        <v>298</v>
      </c>
      <c r="J129" t="s">
        <v>576</v>
      </c>
    </row>
    <row r="130" spans="1:10" x14ac:dyDescent="0.3">
      <c r="A130" s="2" t="s">
        <v>218</v>
      </c>
      <c r="B130">
        <v>1342.1</v>
      </c>
      <c r="C130" t="s">
        <v>299</v>
      </c>
      <c r="D130" t="s">
        <v>580</v>
      </c>
      <c r="E130" t="s">
        <v>572</v>
      </c>
      <c r="F130" t="s">
        <v>573</v>
      </c>
      <c r="G130" t="s">
        <v>574</v>
      </c>
      <c r="H130" t="s">
        <v>575</v>
      </c>
      <c r="I130" t="s">
        <v>298</v>
      </c>
      <c r="J130" t="s">
        <v>576</v>
      </c>
    </row>
    <row r="131" spans="1:10" x14ac:dyDescent="0.3">
      <c r="A131" s="2" t="s">
        <v>209</v>
      </c>
      <c r="B131">
        <v>1340.1</v>
      </c>
      <c r="C131" t="s">
        <v>299</v>
      </c>
      <c r="D131" t="s">
        <v>580</v>
      </c>
      <c r="E131" t="s">
        <v>572</v>
      </c>
      <c r="F131" t="s">
        <v>573</v>
      </c>
      <c r="G131" t="s">
        <v>574</v>
      </c>
      <c r="H131" t="s">
        <v>575</v>
      </c>
      <c r="I131" t="s">
        <v>298</v>
      </c>
      <c r="J131" t="s">
        <v>576</v>
      </c>
    </row>
    <row r="132" spans="1:10" x14ac:dyDescent="0.3">
      <c r="A132" s="2" t="s">
        <v>218</v>
      </c>
      <c r="B132">
        <v>1339</v>
      </c>
      <c r="C132" t="s">
        <v>299</v>
      </c>
      <c r="D132" t="s">
        <v>580</v>
      </c>
      <c r="E132" t="s">
        <v>572</v>
      </c>
      <c r="F132" t="s">
        <v>573</v>
      </c>
      <c r="G132" t="s">
        <v>574</v>
      </c>
      <c r="H132" t="s">
        <v>575</v>
      </c>
      <c r="I132" t="s">
        <v>298</v>
      </c>
      <c r="J132" t="s">
        <v>576</v>
      </c>
    </row>
    <row r="133" spans="1:10" x14ac:dyDescent="0.3">
      <c r="A133" s="2" t="s">
        <v>202</v>
      </c>
      <c r="B133">
        <v>1338.1</v>
      </c>
      <c r="C133" t="s">
        <v>299</v>
      </c>
      <c r="D133" t="s">
        <v>580</v>
      </c>
      <c r="E133" t="s">
        <v>572</v>
      </c>
      <c r="F133" t="s">
        <v>573</v>
      </c>
      <c r="G133" t="s">
        <v>574</v>
      </c>
      <c r="H133" t="s">
        <v>575</v>
      </c>
      <c r="I133" t="s">
        <v>298</v>
      </c>
      <c r="J133" t="s">
        <v>576</v>
      </c>
    </row>
    <row r="134" spans="1:10" x14ac:dyDescent="0.3">
      <c r="A134" s="2" t="s">
        <v>198</v>
      </c>
      <c r="B134">
        <v>1337.8</v>
      </c>
      <c r="C134" t="s">
        <v>299</v>
      </c>
      <c r="D134" t="s">
        <v>580</v>
      </c>
      <c r="E134" t="s">
        <v>572</v>
      </c>
      <c r="F134" t="s">
        <v>573</v>
      </c>
      <c r="G134" t="s">
        <v>574</v>
      </c>
      <c r="H134" t="s">
        <v>575</v>
      </c>
      <c r="I134" t="s">
        <v>298</v>
      </c>
      <c r="J134" t="s">
        <v>576</v>
      </c>
    </row>
    <row r="135" spans="1:10" x14ac:dyDescent="0.3">
      <c r="A135" s="2" t="s">
        <v>222</v>
      </c>
      <c r="B135">
        <v>1337.2</v>
      </c>
      <c r="C135" t="s">
        <v>299</v>
      </c>
      <c r="D135" t="s">
        <v>580</v>
      </c>
      <c r="E135" t="s">
        <v>572</v>
      </c>
      <c r="F135" t="s">
        <v>573</v>
      </c>
      <c r="G135" t="s">
        <v>574</v>
      </c>
      <c r="H135" t="s">
        <v>575</v>
      </c>
      <c r="I135" t="s">
        <v>298</v>
      </c>
      <c r="J135" t="s">
        <v>576</v>
      </c>
    </row>
    <row r="136" spans="1:10" x14ac:dyDescent="0.3">
      <c r="A136" s="2" t="s">
        <v>188</v>
      </c>
      <c r="B136">
        <v>1335.6</v>
      </c>
      <c r="C136" t="s">
        <v>299</v>
      </c>
      <c r="D136" t="s">
        <v>580</v>
      </c>
      <c r="E136" t="s">
        <v>572</v>
      </c>
      <c r="F136" t="s">
        <v>573</v>
      </c>
      <c r="G136" t="s">
        <v>574</v>
      </c>
      <c r="H136" t="s">
        <v>575</v>
      </c>
      <c r="I136" t="s">
        <v>298</v>
      </c>
      <c r="J136" t="s">
        <v>576</v>
      </c>
    </row>
    <row r="137" spans="1:10" x14ac:dyDescent="0.3">
      <c r="A137" s="2" t="s">
        <v>199</v>
      </c>
      <c r="B137">
        <v>1334.5</v>
      </c>
      <c r="C137" t="s">
        <v>299</v>
      </c>
      <c r="D137" t="s">
        <v>580</v>
      </c>
      <c r="E137" t="s">
        <v>572</v>
      </c>
      <c r="F137" t="s">
        <v>573</v>
      </c>
      <c r="G137" t="s">
        <v>574</v>
      </c>
      <c r="H137" t="s">
        <v>575</v>
      </c>
      <c r="I137" t="s">
        <v>298</v>
      </c>
      <c r="J137" t="s">
        <v>576</v>
      </c>
    </row>
    <row r="138" spans="1:10" x14ac:dyDescent="0.3">
      <c r="A138" s="2" t="s">
        <v>205</v>
      </c>
      <c r="B138">
        <v>1334.3</v>
      </c>
      <c r="C138" t="s">
        <v>299</v>
      </c>
      <c r="D138" t="s">
        <v>580</v>
      </c>
      <c r="E138" t="s">
        <v>572</v>
      </c>
      <c r="F138" t="s">
        <v>573</v>
      </c>
      <c r="G138" t="s">
        <v>574</v>
      </c>
      <c r="H138" t="s">
        <v>575</v>
      </c>
      <c r="I138" t="s">
        <v>298</v>
      </c>
      <c r="J138" t="s">
        <v>576</v>
      </c>
    </row>
    <row r="139" spans="1:10" x14ac:dyDescent="0.3">
      <c r="A139" s="2" t="s">
        <v>224</v>
      </c>
      <c r="B139">
        <v>1334.1</v>
      </c>
      <c r="C139" t="s">
        <v>299</v>
      </c>
      <c r="D139" t="s">
        <v>580</v>
      </c>
      <c r="E139" t="s">
        <v>572</v>
      </c>
      <c r="F139" t="s">
        <v>573</v>
      </c>
      <c r="G139" t="s">
        <v>574</v>
      </c>
      <c r="H139" t="s">
        <v>575</v>
      </c>
      <c r="I139" t="s">
        <v>298</v>
      </c>
      <c r="J139" t="s">
        <v>576</v>
      </c>
    </row>
    <row r="140" spans="1:10" x14ac:dyDescent="0.3">
      <c r="A140" s="2" t="s">
        <v>180</v>
      </c>
      <c r="B140">
        <v>1332.7</v>
      </c>
      <c r="C140">
        <v>24</v>
      </c>
      <c r="D140" t="s">
        <v>578</v>
      </c>
      <c r="E140" t="s">
        <v>572</v>
      </c>
      <c r="F140" t="s">
        <v>573</v>
      </c>
      <c r="G140" t="s">
        <v>574</v>
      </c>
      <c r="H140" t="s">
        <v>575</v>
      </c>
      <c r="I140" t="s">
        <v>298</v>
      </c>
      <c r="J140" t="s">
        <v>576</v>
      </c>
    </row>
    <row r="141" spans="1:10" x14ac:dyDescent="0.3">
      <c r="A141" s="2" t="s">
        <v>225</v>
      </c>
      <c r="B141">
        <v>1332.6</v>
      </c>
      <c r="C141" t="s">
        <v>299</v>
      </c>
      <c r="D141" t="s">
        <v>580</v>
      </c>
      <c r="E141" t="s">
        <v>572</v>
      </c>
      <c r="F141" t="s">
        <v>573</v>
      </c>
      <c r="G141" t="s">
        <v>574</v>
      </c>
      <c r="H141" t="s">
        <v>575</v>
      </c>
      <c r="I141" t="s">
        <v>298</v>
      </c>
      <c r="J141" t="s">
        <v>576</v>
      </c>
    </row>
    <row r="142" spans="1:10" x14ac:dyDescent="0.3">
      <c r="A142" s="2" t="s">
        <v>181</v>
      </c>
      <c r="B142">
        <v>1331.9</v>
      </c>
      <c r="C142">
        <v>25</v>
      </c>
      <c r="D142" t="s">
        <v>578</v>
      </c>
      <c r="E142" t="s">
        <v>572</v>
      </c>
      <c r="F142" t="s">
        <v>573</v>
      </c>
      <c r="G142" t="s">
        <v>574</v>
      </c>
      <c r="H142" t="s">
        <v>575</v>
      </c>
      <c r="I142" t="s">
        <v>298</v>
      </c>
      <c r="J142" t="s">
        <v>576</v>
      </c>
    </row>
    <row r="143" spans="1:10" x14ac:dyDescent="0.3">
      <c r="A143" s="2" t="s">
        <v>208</v>
      </c>
      <c r="B143">
        <v>1329.9</v>
      </c>
      <c r="C143" t="s">
        <v>299</v>
      </c>
      <c r="D143" t="s">
        <v>580</v>
      </c>
      <c r="E143" t="s">
        <v>572</v>
      </c>
      <c r="F143" t="s">
        <v>573</v>
      </c>
      <c r="G143" t="s">
        <v>574</v>
      </c>
      <c r="H143" t="s">
        <v>575</v>
      </c>
      <c r="I143" t="s">
        <v>298</v>
      </c>
      <c r="J143" t="s">
        <v>576</v>
      </c>
    </row>
    <row r="144" spans="1:10" x14ac:dyDescent="0.3">
      <c r="A144" s="2" t="s">
        <v>186</v>
      </c>
      <c r="B144">
        <v>1329.2</v>
      </c>
      <c r="C144" t="s">
        <v>299</v>
      </c>
      <c r="D144" t="s">
        <v>580</v>
      </c>
      <c r="E144" t="s">
        <v>572</v>
      </c>
      <c r="F144" t="s">
        <v>573</v>
      </c>
      <c r="G144" t="s">
        <v>574</v>
      </c>
      <c r="H144" t="s">
        <v>575</v>
      </c>
      <c r="I144" t="s">
        <v>298</v>
      </c>
      <c r="J144" t="s">
        <v>576</v>
      </c>
    </row>
    <row r="145" spans="1:10" x14ac:dyDescent="0.3">
      <c r="A145" s="2" t="s">
        <v>193</v>
      </c>
      <c r="B145">
        <v>1328.9</v>
      </c>
      <c r="C145" t="s">
        <v>299</v>
      </c>
      <c r="D145" t="s">
        <v>580</v>
      </c>
      <c r="E145" t="s">
        <v>572</v>
      </c>
      <c r="F145" t="s">
        <v>573</v>
      </c>
      <c r="G145" t="s">
        <v>574</v>
      </c>
      <c r="H145" t="s">
        <v>575</v>
      </c>
      <c r="I145" t="s">
        <v>298</v>
      </c>
      <c r="J145" t="s">
        <v>576</v>
      </c>
    </row>
    <row r="146" spans="1:10" x14ac:dyDescent="0.3">
      <c r="A146" s="2" t="s">
        <v>221</v>
      </c>
      <c r="B146">
        <v>1328.4</v>
      </c>
      <c r="C146" t="s">
        <v>299</v>
      </c>
      <c r="D146" t="s">
        <v>580</v>
      </c>
      <c r="E146" t="s">
        <v>572</v>
      </c>
      <c r="F146" t="s">
        <v>573</v>
      </c>
      <c r="G146" t="s">
        <v>574</v>
      </c>
      <c r="H146" t="s">
        <v>575</v>
      </c>
      <c r="I146" t="s">
        <v>298</v>
      </c>
      <c r="J146" t="s">
        <v>576</v>
      </c>
    </row>
    <row r="147" spans="1:10" x14ac:dyDescent="0.3">
      <c r="A147" s="2" t="s">
        <v>192</v>
      </c>
      <c r="B147">
        <v>1327.1</v>
      </c>
      <c r="C147" t="s">
        <v>299</v>
      </c>
      <c r="D147" t="s">
        <v>580</v>
      </c>
      <c r="E147" t="s">
        <v>572</v>
      </c>
      <c r="F147" t="s">
        <v>573</v>
      </c>
      <c r="G147" t="s">
        <v>574</v>
      </c>
      <c r="H147" t="s">
        <v>575</v>
      </c>
      <c r="I147" t="s">
        <v>298</v>
      </c>
      <c r="J147" t="s">
        <v>576</v>
      </c>
    </row>
    <row r="148" spans="1:10" x14ac:dyDescent="0.3">
      <c r="A148" s="2" t="s">
        <v>189</v>
      </c>
      <c r="B148">
        <v>1326.5</v>
      </c>
      <c r="C148" t="s">
        <v>299</v>
      </c>
      <c r="D148" t="s">
        <v>580</v>
      </c>
      <c r="E148" t="s">
        <v>572</v>
      </c>
      <c r="F148" t="s">
        <v>573</v>
      </c>
      <c r="G148" t="s">
        <v>574</v>
      </c>
      <c r="H148" t="s">
        <v>575</v>
      </c>
      <c r="I148" t="s">
        <v>298</v>
      </c>
      <c r="J148" t="s">
        <v>576</v>
      </c>
    </row>
    <row r="149" spans="1:10" x14ac:dyDescent="0.3">
      <c r="A149" s="2" t="s">
        <v>223</v>
      </c>
      <c r="B149">
        <v>1322.6</v>
      </c>
      <c r="C149" t="s">
        <v>299</v>
      </c>
      <c r="D149" t="s">
        <v>580</v>
      </c>
      <c r="E149" t="s">
        <v>572</v>
      </c>
      <c r="F149" t="s">
        <v>573</v>
      </c>
      <c r="G149" t="s">
        <v>574</v>
      </c>
      <c r="H149" t="s">
        <v>575</v>
      </c>
      <c r="I149" t="s">
        <v>298</v>
      </c>
      <c r="J149" t="s">
        <v>576</v>
      </c>
    </row>
    <row r="150" spans="1:10" x14ac:dyDescent="0.3">
      <c r="A150" s="2" t="s">
        <v>229</v>
      </c>
      <c r="B150">
        <v>1321.3</v>
      </c>
      <c r="C150" t="s">
        <v>299</v>
      </c>
      <c r="D150" t="s">
        <v>580</v>
      </c>
      <c r="E150" t="s">
        <v>572</v>
      </c>
      <c r="F150" t="s">
        <v>573</v>
      </c>
      <c r="G150" t="s">
        <v>574</v>
      </c>
      <c r="H150" t="s">
        <v>575</v>
      </c>
      <c r="I150" t="s">
        <v>298</v>
      </c>
      <c r="J150" t="s">
        <v>576</v>
      </c>
    </row>
    <row r="151" spans="1:10" x14ac:dyDescent="0.3">
      <c r="A151" s="2" t="s">
        <v>225</v>
      </c>
      <c r="B151">
        <v>1320.9</v>
      </c>
      <c r="C151" t="s">
        <v>299</v>
      </c>
      <c r="D151" t="s">
        <v>580</v>
      </c>
      <c r="E151" t="s">
        <v>572</v>
      </c>
      <c r="F151" t="s">
        <v>573</v>
      </c>
      <c r="G151" t="s">
        <v>574</v>
      </c>
      <c r="H151" t="s">
        <v>581</v>
      </c>
      <c r="I151" t="s">
        <v>582</v>
      </c>
      <c r="J151">
        <v>445</v>
      </c>
    </row>
    <row r="152" spans="1:10" x14ac:dyDescent="0.3">
      <c r="A152" s="2" t="s">
        <v>226</v>
      </c>
      <c r="B152">
        <v>1319.9</v>
      </c>
      <c r="C152" t="s">
        <v>299</v>
      </c>
      <c r="D152" t="s">
        <v>580</v>
      </c>
      <c r="E152" t="s">
        <v>572</v>
      </c>
      <c r="F152" t="s">
        <v>573</v>
      </c>
      <c r="G152" t="s">
        <v>574</v>
      </c>
      <c r="H152" t="s">
        <v>575</v>
      </c>
      <c r="I152" t="s">
        <v>298</v>
      </c>
      <c r="J152" t="s">
        <v>576</v>
      </c>
    </row>
    <row r="153" spans="1:10" x14ac:dyDescent="0.3">
      <c r="A153" s="2" t="s">
        <v>203</v>
      </c>
      <c r="B153">
        <v>1317.8</v>
      </c>
      <c r="C153" t="s">
        <v>299</v>
      </c>
      <c r="D153" t="s">
        <v>580</v>
      </c>
      <c r="E153" t="s">
        <v>572</v>
      </c>
      <c r="F153" t="s">
        <v>573</v>
      </c>
      <c r="G153" t="s">
        <v>574</v>
      </c>
      <c r="H153" t="s">
        <v>575</v>
      </c>
      <c r="I153" t="s">
        <v>298</v>
      </c>
      <c r="J153" t="s">
        <v>576</v>
      </c>
    </row>
    <row r="154" spans="1:10" x14ac:dyDescent="0.3">
      <c r="A154" s="2" t="s">
        <v>232</v>
      </c>
      <c r="B154">
        <v>1317.7</v>
      </c>
      <c r="C154" t="s">
        <v>299</v>
      </c>
      <c r="D154" t="s">
        <v>580</v>
      </c>
      <c r="E154" t="s">
        <v>572</v>
      </c>
      <c r="F154" t="s">
        <v>573</v>
      </c>
      <c r="G154" t="s">
        <v>574</v>
      </c>
      <c r="H154" t="s">
        <v>575</v>
      </c>
      <c r="I154" t="s">
        <v>298</v>
      </c>
      <c r="J154" t="s">
        <v>576</v>
      </c>
    </row>
    <row r="155" spans="1:10" x14ac:dyDescent="0.3">
      <c r="A155" s="2" t="s">
        <v>226</v>
      </c>
      <c r="B155">
        <v>1317</v>
      </c>
      <c r="C155" t="s">
        <v>299</v>
      </c>
      <c r="D155" t="s">
        <v>580</v>
      </c>
      <c r="E155" t="s">
        <v>572</v>
      </c>
      <c r="F155" t="s">
        <v>573</v>
      </c>
      <c r="G155" t="s">
        <v>574</v>
      </c>
      <c r="H155">
        <v>2</v>
      </c>
    </row>
    <row r="156" spans="1:10" x14ac:dyDescent="0.3">
      <c r="A156" s="2" t="s">
        <v>219</v>
      </c>
      <c r="B156">
        <v>1316.4</v>
      </c>
      <c r="C156" t="s">
        <v>299</v>
      </c>
      <c r="D156" t="s">
        <v>580</v>
      </c>
      <c r="E156" t="s">
        <v>572</v>
      </c>
      <c r="F156" t="s">
        <v>573</v>
      </c>
      <c r="G156" t="s">
        <v>574</v>
      </c>
      <c r="H156" t="s">
        <v>575</v>
      </c>
      <c r="I156" t="s">
        <v>298</v>
      </c>
      <c r="J156" t="s">
        <v>576</v>
      </c>
    </row>
    <row r="157" spans="1:10" x14ac:dyDescent="0.3">
      <c r="A157" s="2" t="s">
        <v>196</v>
      </c>
      <c r="B157">
        <v>1314.7</v>
      </c>
      <c r="C157" t="s">
        <v>299</v>
      </c>
      <c r="D157" t="s">
        <v>580</v>
      </c>
      <c r="E157" t="s">
        <v>572</v>
      </c>
      <c r="F157" t="s">
        <v>573</v>
      </c>
      <c r="G157" t="s">
        <v>574</v>
      </c>
      <c r="H157" t="s">
        <v>575</v>
      </c>
      <c r="I157" t="s">
        <v>298</v>
      </c>
      <c r="J157" t="s">
        <v>576</v>
      </c>
    </row>
    <row r="158" spans="1:10" x14ac:dyDescent="0.3">
      <c r="A158" s="2" t="s">
        <v>215</v>
      </c>
      <c r="B158">
        <v>1313.8</v>
      </c>
      <c r="C158" t="s">
        <v>299</v>
      </c>
      <c r="D158" t="s">
        <v>580</v>
      </c>
      <c r="E158" t="s">
        <v>572</v>
      </c>
      <c r="F158" t="s">
        <v>573</v>
      </c>
      <c r="G158" t="s">
        <v>574</v>
      </c>
      <c r="H158" t="s">
        <v>575</v>
      </c>
      <c r="I158" t="s">
        <v>298</v>
      </c>
      <c r="J158" t="s">
        <v>576</v>
      </c>
    </row>
    <row r="159" spans="1:10" x14ac:dyDescent="0.3">
      <c r="A159" s="2" t="s">
        <v>247</v>
      </c>
      <c r="B159">
        <v>1313.2</v>
      </c>
      <c r="C159" t="s">
        <v>299</v>
      </c>
      <c r="D159" t="s">
        <v>580</v>
      </c>
      <c r="E159" t="s">
        <v>572</v>
      </c>
      <c r="F159" t="s">
        <v>573</v>
      </c>
      <c r="G159" t="s">
        <v>574</v>
      </c>
      <c r="H159" t="s">
        <v>575</v>
      </c>
      <c r="I159" t="s">
        <v>298</v>
      </c>
      <c r="J159" t="s">
        <v>576</v>
      </c>
    </row>
    <row r="160" spans="1:10" x14ac:dyDescent="0.3">
      <c r="A160" s="2" t="s">
        <v>234</v>
      </c>
      <c r="B160">
        <v>1311.1</v>
      </c>
      <c r="C160" t="s">
        <v>299</v>
      </c>
      <c r="D160" t="s">
        <v>580</v>
      </c>
      <c r="E160" t="s">
        <v>572</v>
      </c>
      <c r="F160" t="s">
        <v>573</v>
      </c>
      <c r="G160" t="s">
        <v>574</v>
      </c>
      <c r="H160" t="s">
        <v>575</v>
      </c>
      <c r="I160" t="s">
        <v>298</v>
      </c>
      <c r="J160" t="s">
        <v>576</v>
      </c>
    </row>
    <row r="161" spans="1:22" x14ac:dyDescent="0.3">
      <c r="A161" s="2" t="s">
        <v>207</v>
      </c>
      <c r="B161">
        <v>1310.5</v>
      </c>
      <c r="C161" t="s">
        <v>299</v>
      </c>
      <c r="D161" t="s">
        <v>580</v>
      </c>
      <c r="E161" t="s">
        <v>572</v>
      </c>
      <c r="F161" t="s">
        <v>573</v>
      </c>
      <c r="G161" t="s">
        <v>574</v>
      </c>
      <c r="H161" t="s">
        <v>575</v>
      </c>
      <c r="I161" t="s">
        <v>298</v>
      </c>
      <c r="J161" t="s">
        <v>576</v>
      </c>
    </row>
    <row r="162" spans="1:22" x14ac:dyDescent="0.3">
      <c r="A162" s="2" t="s">
        <v>237</v>
      </c>
      <c r="B162">
        <v>1310.2</v>
      </c>
      <c r="C162" t="s">
        <v>299</v>
      </c>
      <c r="D162" t="s">
        <v>580</v>
      </c>
      <c r="E162" t="s">
        <v>572</v>
      </c>
      <c r="F162" t="s">
        <v>573</v>
      </c>
      <c r="G162" t="s">
        <v>574</v>
      </c>
      <c r="H162" t="s">
        <v>575</v>
      </c>
      <c r="I162" t="s">
        <v>298</v>
      </c>
      <c r="J162" t="s">
        <v>576</v>
      </c>
    </row>
    <row r="163" spans="1:22" x14ac:dyDescent="0.3">
      <c r="A163" s="2" t="s">
        <v>206</v>
      </c>
      <c r="B163">
        <v>1310</v>
      </c>
      <c r="C163" t="s">
        <v>299</v>
      </c>
      <c r="D163" t="s">
        <v>580</v>
      </c>
      <c r="E163" t="s">
        <v>572</v>
      </c>
      <c r="F163" t="s">
        <v>573</v>
      </c>
      <c r="G163" t="s">
        <v>574</v>
      </c>
      <c r="H163" t="s">
        <v>575</v>
      </c>
      <c r="I163" t="s">
        <v>298</v>
      </c>
      <c r="J163" t="s">
        <v>576</v>
      </c>
    </row>
    <row r="164" spans="1:22" x14ac:dyDescent="0.3">
      <c r="A164" s="2" t="s">
        <v>248</v>
      </c>
      <c r="B164">
        <v>1309.5999999999999</v>
      </c>
      <c r="C164" t="s">
        <v>299</v>
      </c>
      <c r="D164" t="s">
        <v>580</v>
      </c>
      <c r="E164" t="s">
        <v>572</v>
      </c>
      <c r="F164" t="s">
        <v>573</v>
      </c>
      <c r="G164" t="s">
        <v>574</v>
      </c>
      <c r="H164" t="s">
        <v>575</v>
      </c>
      <c r="I164" t="s">
        <v>298</v>
      </c>
      <c r="J164" t="s">
        <v>576</v>
      </c>
    </row>
    <row r="165" spans="1:22" x14ac:dyDescent="0.3">
      <c r="A165" s="2" t="s">
        <v>219</v>
      </c>
      <c r="B165">
        <v>1309.2</v>
      </c>
      <c r="C165" t="s">
        <v>299</v>
      </c>
      <c r="D165" t="s">
        <v>580</v>
      </c>
      <c r="E165" t="s">
        <v>572</v>
      </c>
      <c r="F165" t="s">
        <v>573</v>
      </c>
      <c r="G165" t="s">
        <v>574</v>
      </c>
      <c r="H165" t="s">
        <v>575</v>
      </c>
      <c r="I165" t="s">
        <v>298</v>
      </c>
      <c r="J165" t="s">
        <v>576</v>
      </c>
    </row>
    <row r="166" spans="1:22" x14ac:dyDescent="0.3">
      <c r="A166" s="2" t="s">
        <v>225</v>
      </c>
      <c r="B166">
        <v>1306.5999999999999</v>
      </c>
      <c r="C166" t="s">
        <v>299</v>
      </c>
      <c r="D166" t="s">
        <v>580</v>
      </c>
      <c r="E166" t="s">
        <v>572</v>
      </c>
      <c r="F166" t="s">
        <v>573</v>
      </c>
      <c r="G166" t="s">
        <v>574</v>
      </c>
      <c r="H166" t="s">
        <v>575</v>
      </c>
      <c r="I166" t="s">
        <v>298</v>
      </c>
      <c r="J166" t="s">
        <v>576</v>
      </c>
    </row>
    <row r="167" spans="1:22" x14ac:dyDescent="0.3">
      <c r="A167" s="2" t="s">
        <v>213</v>
      </c>
      <c r="B167">
        <v>1306.2</v>
      </c>
      <c r="C167" t="s">
        <v>299</v>
      </c>
      <c r="D167" t="s">
        <v>580</v>
      </c>
      <c r="E167" t="s">
        <v>572</v>
      </c>
      <c r="F167" t="s">
        <v>573</v>
      </c>
      <c r="G167" t="s">
        <v>574</v>
      </c>
      <c r="H167" t="s">
        <v>575</v>
      </c>
      <c r="I167" t="s">
        <v>298</v>
      </c>
      <c r="J167" t="s">
        <v>576</v>
      </c>
    </row>
    <row r="168" spans="1:22" x14ac:dyDescent="0.3">
      <c r="A168" s="2" t="s">
        <v>236</v>
      </c>
      <c r="B168">
        <v>1306.2</v>
      </c>
      <c r="C168" t="s">
        <v>299</v>
      </c>
      <c r="D168" t="s">
        <v>580</v>
      </c>
      <c r="E168" t="s">
        <v>572</v>
      </c>
      <c r="F168" t="s">
        <v>573</v>
      </c>
      <c r="G168" t="s">
        <v>574</v>
      </c>
      <c r="H168" t="s">
        <v>575</v>
      </c>
      <c r="I168" t="s">
        <v>298</v>
      </c>
      <c r="J168" t="s">
        <v>576</v>
      </c>
    </row>
    <row r="169" spans="1:22" x14ac:dyDescent="0.3">
      <c r="A169" s="2" t="s">
        <v>214</v>
      </c>
      <c r="B169">
        <v>1304.2</v>
      </c>
      <c r="C169" t="s">
        <v>299</v>
      </c>
      <c r="D169" t="s">
        <v>580</v>
      </c>
      <c r="E169" t="s">
        <v>572</v>
      </c>
      <c r="F169" t="s">
        <v>573</v>
      </c>
      <c r="G169" t="s">
        <v>574</v>
      </c>
      <c r="H169" t="s">
        <v>575</v>
      </c>
      <c r="I169" t="s">
        <v>298</v>
      </c>
      <c r="J169" t="s">
        <v>576</v>
      </c>
    </row>
    <row r="170" spans="1:22" x14ac:dyDescent="0.3">
      <c r="A170" s="2" t="s">
        <v>239</v>
      </c>
      <c r="B170">
        <v>1304</v>
      </c>
      <c r="C170" t="s">
        <v>299</v>
      </c>
      <c r="D170" t="s">
        <v>580</v>
      </c>
      <c r="E170" t="s">
        <v>572</v>
      </c>
      <c r="F170" t="s">
        <v>573</v>
      </c>
      <c r="G170" t="s">
        <v>574</v>
      </c>
      <c r="H170" t="s">
        <v>575</v>
      </c>
      <c r="I170" t="s">
        <v>298</v>
      </c>
      <c r="J170" t="s">
        <v>576</v>
      </c>
    </row>
    <row r="171" spans="1:22" x14ac:dyDescent="0.3">
      <c r="A171" s="2" t="s">
        <v>250</v>
      </c>
      <c r="B171">
        <v>1302</v>
      </c>
      <c r="C171" t="s">
        <v>299</v>
      </c>
      <c r="D171" t="s">
        <v>580</v>
      </c>
      <c r="E171" t="s">
        <v>572</v>
      </c>
      <c r="F171" t="s">
        <v>573</v>
      </c>
      <c r="G171" t="s">
        <v>574</v>
      </c>
      <c r="H171" t="s">
        <v>575</v>
      </c>
      <c r="I171" t="s">
        <v>298</v>
      </c>
      <c r="J171" t="s">
        <v>576</v>
      </c>
    </row>
    <row r="172" spans="1:22" x14ac:dyDescent="0.3">
      <c r="A172" s="2" t="s">
        <v>217</v>
      </c>
      <c r="B172">
        <v>1300.5999999999999</v>
      </c>
      <c r="C172" t="s">
        <v>299</v>
      </c>
      <c r="D172" t="s">
        <v>580</v>
      </c>
      <c r="E172" t="s">
        <v>572</v>
      </c>
      <c r="F172" t="s">
        <v>573</v>
      </c>
      <c r="G172" t="s">
        <v>574</v>
      </c>
      <c r="H172" s="2" t="s">
        <v>575</v>
      </c>
      <c r="I172" t="s">
        <v>298</v>
      </c>
      <c r="J172" t="s">
        <v>576</v>
      </c>
    </row>
    <row r="173" spans="1:22" x14ac:dyDescent="0.3">
      <c r="A173" s="2" t="s">
        <v>260</v>
      </c>
      <c r="B173">
        <v>1300</v>
      </c>
      <c r="C173" t="s">
        <v>299</v>
      </c>
      <c r="D173" t="s">
        <v>580</v>
      </c>
      <c r="E173" t="s">
        <v>572</v>
      </c>
      <c r="F173" t="s">
        <v>573</v>
      </c>
      <c r="G173" t="s">
        <v>574</v>
      </c>
      <c r="H173" t="s">
        <v>587</v>
      </c>
      <c r="I173" t="s">
        <v>591</v>
      </c>
      <c r="J173" t="s">
        <v>323</v>
      </c>
      <c r="K173" t="s">
        <v>324</v>
      </c>
      <c r="L173" t="s">
        <v>325</v>
      </c>
      <c r="M173" t="s">
        <v>308</v>
      </c>
      <c r="N173" t="s">
        <v>326</v>
      </c>
      <c r="O173" t="s">
        <v>327</v>
      </c>
      <c r="P173" t="s">
        <v>328</v>
      </c>
      <c r="Q173" t="s">
        <v>329</v>
      </c>
      <c r="R173" t="s">
        <v>330</v>
      </c>
      <c r="S173" t="s">
        <v>331</v>
      </c>
      <c r="T173" t="s">
        <v>308</v>
      </c>
      <c r="U173" t="s">
        <v>332</v>
      </c>
      <c r="V173" t="s">
        <v>333</v>
      </c>
    </row>
    <row r="174" spans="1:22" x14ac:dyDescent="0.3">
      <c r="A174" s="2" t="s">
        <v>209</v>
      </c>
      <c r="B174">
        <v>1298.8</v>
      </c>
      <c r="C174" t="s">
        <v>299</v>
      </c>
      <c r="D174" t="s">
        <v>580</v>
      </c>
      <c r="E174" t="s">
        <v>572</v>
      </c>
      <c r="F174" t="s">
        <v>573</v>
      </c>
      <c r="G174" t="s">
        <v>574</v>
      </c>
      <c r="H174" t="s">
        <v>575</v>
      </c>
      <c r="I174" t="s">
        <v>298</v>
      </c>
      <c r="J174" t="s">
        <v>576</v>
      </c>
    </row>
    <row r="175" spans="1:22" x14ac:dyDescent="0.3">
      <c r="A175" s="2" t="s">
        <v>244</v>
      </c>
      <c r="B175">
        <v>1298.5999999999999</v>
      </c>
      <c r="C175" t="s">
        <v>299</v>
      </c>
      <c r="D175" t="s">
        <v>580</v>
      </c>
      <c r="E175" t="s">
        <v>572</v>
      </c>
      <c r="F175" t="s">
        <v>573</v>
      </c>
      <c r="G175" t="s">
        <v>574</v>
      </c>
      <c r="H175" t="s">
        <v>575</v>
      </c>
      <c r="I175" t="s">
        <v>298</v>
      </c>
      <c r="J175" t="s">
        <v>576</v>
      </c>
    </row>
    <row r="176" spans="1:22" x14ac:dyDescent="0.3">
      <c r="A176" s="2" t="s">
        <v>252</v>
      </c>
      <c r="B176">
        <v>1297.3</v>
      </c>
      <c r="C176" t="s">
        <v>299</v>
      </c>
      <c r="D176" t="s">
        <v>580</v>
      </c>
      <c r="E176" t="s">
        <v>572</v>
      </c>
      <c r="F176" t="s">
        <v>573</v>
      </c>
      <c r="G176" t="s">
        <v>574</v>
      </c>
      <c r="H176" t="s">
        <v>575</v>
      </c>
      <c r="I176" t="s">
        <v>298</v>
      </c>
      <c r="J176" t="s">
        <v>576</v>
      </c>
    </row>
    <row r="177" spans="1:25" x14ac:dyDescent="0.3">
      <c r="A177" s="2" t="s">
        <v>212</v>
      </c>
      <c r="B177">
        <v>1297.0999999999999</v>
      </c>
      <c r="C177" t="s">
        <v>299</v>
      </c>
      <c r="D177" t="s">
        <v>580</v>
      </c>
      <c r="E177" t="s">
        <v>572</v>
      </c>
      <c r="F177" t="s">
        <v>573</v>
      </c>
      <c r="G177" t="s">
        <v>574</v>
      </c>
      <c r="H177" t="s">
        <v>575</v>
      </c>
      <c r="I177" t="s">
        <v>298</v>
      </c>
      <c r="J177" t="s">
        <v>576</v>
      </c>
    </row>
    <row r="178" spans="1:25" x14ac:dyDescent="0.3">
      <c r="A178" s="2" t="s">
        <v>241</v>
      </c>
      <c r="B178">
        <v>1296</v>
      </c>
      <c r="C178" t="s">
        <v>299</v>
      </c>
      <c r="D178" t="s">
        <v>580</v>
      </c>
      <c r="E178" t="s">
        <v>572</v>
      </c>
      <c r="F178" t="s">
        <v>573</v>
      </c>
      <c r="G178" t="s">
        <v>574</v>
      </c>
      <c r="H178" t="s">
        <v>575</v>
      </c>
      <c r="I178" t="s">
        <v>298</v>
      </c>
      <c r="J178" t="s">
        <v>576</v>
      </c>
    </row>
    <row r="179" spans="1:25" x14ac:dyDescent="0.3">
      <c r="A179" s="2" t="s">
        <v>238</v>
      </c>
      <c r="B179">
        <v>1292.8</v>
      </c>
      <c r="C179" t="s">
        <v>299</v>
      </c>
      <c r="D179" t="s">
        <v>580</v>
      </c>
      <c r="E179" t="s">
        <v>572</v>
      </c>
      <c r="F179" t="s">
        <v>573</v>
      </c>
      <c r="G179" t="s">
        <v>574</v>
      </c>
      <c r="H179" t="s">
        <v>575</v>
      </c>
      <c r="I179" t="s">
        <v>298</v>
      </c>
      <c r="J179" t="s">
        <v>576</v>
      </c>
    </row>
    <row r="180" spans="1:25" x14ac:dyDescent="0.3">
      <c r="A180" s="2" t="s">
        <v>233</v>
      </c>
      <c r="B180">
        <v>1291.5</v>
      </c>
      <c r="C180" t="s">
        <v>299</v>
      </c>
      <c r="D180" t="s">
        <v>580</v>
      </c>
      <c r="E180" t="s">
        <v>572</v>
      </c>
      <c r="F180" t="s">
        <v>573</v>
      </c>
      <c r="G180" t="s">
        <v>574</v>
      </c>
      <c r="H180" t="s">
        <v>575</v>
      </c>
      <c r="I180" t="s">
        <v>298</v>
      </c>
      <c r="J180" t="s">
        <v>576</v>
      </c>
    </row>
    <row r="181" spans="1:25" x14ac:dyDescent="0.3">
      <c r="A181" s="2" t="s">
        <v>251</v>
      </c>
      <c r="B181">
        <v>1290.5</v>
      </c>
      <c r="C181" t="s">
        <v>299</v>
      </c>
      <c r="D181" t="s">
        <v>580</v>
      </c>
      <c r="E181" t="s">
        <v>572</v>
      </c>
      <c r="F181" t="s">
        <v>573</v>
      </c>
      <c r="G181" t="s">
        <v>574</v>
      </c>
      <c r="H181" t="s">
        <v>575</v>
      </c>
      <c r="I181" t="s">
        <v>298</v>
      </c>
      <c r="J181" t="s">
        <v>576</v>
      </c>
    </row>
    <row r="182" spans="1:25" x14ac:dyDescent="0.3">
      <c r="A182" s="2" t="s">
        <v>260</v>
      </c>
      <c r="B182">
        <v>1290.2</v>
      </c>
      <c r="C182" t="s">
        <v>299</v>
      </c>
      <c r="D182" t="s">
        <v>580</v>
      </c>
      <c r="E182" t="s">
        <v>572</v>
      </c>
      <c r="F182" t="s">
        <v>573</v>
      </c>
      <c r="G182" t="s">
        <v>574</v>
      </c>
      <c r="H182" t="s">
        <v>575</v>
      </c>
      <c r="I182" t="s">
        <v>298</v>
      </c>
      <c r="J182" t="s">
        <v>576</v>
      </c>
    </row>
    <row r="183" spans="1:25" x14ac:dyDescent="0.3">
      <c r="A183" s="2" t="s">
        <v>249</v>
      </c>
      <c r="B183">
        <v>1290.0999999999999</v>
      </c>
      <c r="C183" t="s">
        <v>299</v>
      </c>
      <c r="D183" t="s">
        <v>580</v>
      </c>
      <c r="E183" t="s">
        <v>572</v>
      </c>
      <c r="F183" t="s">
        <v>573</v>
      </c>
      <c r="G183" t="s">
        <v>574</v>
      </c>
      <c r="H183" t="s">
        <v>575</v>
      </c>
      <c r="I183" t="s">
        <v>298</v>
      </c>
      <c r="J183" t="s">
        <v>576</v>
      </c>
    </row>
    <row r="184" spans="1:25" x14ac:dyDescent="0.3">
      <c r="A184" s="2" t="s">
        <v>235</v>
      </c>
      <c r="B184">
        <v>1289.2</v>
      </c>
      <c r="C184" t="s">
        <v>299</v>
      </c>
      <c r="D184" t="s">
        <v>580</v>
      </c>
      <c r="E184" t="s">
        <v>572</v>
      </c>
      <c r="F184" t="s">
        <v>573</v>
      </c>
      <c r="G184" t="s">
        <v>574</v>
      </c>
      <c r="H184" t="s">
        <v>575</v>
      </c>
      <c r="I184" t="s">
        <v>298</v>
      </c>
      <c r="J184" t="s">
        <v>576</v>
      </c>
    </row>
    <row r="185" spans="1:25" x14ac:dyDescent="0.3">
      <c r="A185" s="2" t="s">
        <v>261</v>
      </c>
      <c r="B185">
        <v>1283.5999999999999</v>
      </c>
      <c r="C185" t="s">
        <v>299</v>
      </c>
      <c r="D185" t="s">
        <v>580</v>
      </c>
      <c r="E185" t="s">
        <v>572</v>
      </c>
      <c r="F185" t="s">
        <v>573</v>
      </c>
      <c r="G185" t="s">
        <v>574</v>
      </c>
      <c r="H185" t="s">
        <v>587</v>
      </c>
      <c r="I185" t="s">
        <v>590</v>
      </c>
      <c r="J185" t="s">
        <v>162</v>
      </c>
      <c r="K185" t="s">
        <v>319</v>
      </c>
      <c r="L185" t="s">
        <v>317</v>
      </c>
      <c r="M185" t="s">
        <v>320</v>
      </c>
      <c r="N185" t="s">
        <v>321</v>
      </c>
      <c r="O185" t="s">
        <v>322</v>
      </c>
    </row>
    <row r="186" spans="1:25" x14ac:dyDescent="0.3">
      <c r="A186" s="2" t="s">
        <v>230</v>
      </c>
      <c r="B186">
        <v>1283.3</v>
      </c>
      <c r="C186" t="s">
        <v>299</v>
      </c>
      <c r="D186" t="s">
        <v>580</v>
      </c>
      <c r="E186" t="s">
        <v>572</v>
      </c>
      <c r="F186" t="s">
        <v>573</v>
      </c>
      <c r="G186" t="s">
        <v>574</v>
      </c>
      <c r="H186" t="s">
        <v>575</v>
      </c>
      <c r="I186" t="s">
        <v>298</v>
      </c>
      <c r="J186" t="s">
        <v>576</v>
      </c>
    </row>
    <row r="187" spans="1:25" x14ac:dyDescent="0.3">
      <c r="A187" s="2" t="s">
        <v>254</v>
      </c>
      <c r="B187">
        <v>1282.5999999999999</v>
      </c>
      <c r="C187" t="s">
        <v>299</v>
      </c>
      <c r="D187" t="s">
        <v>580</v>
      </c>
      <c r="E187" t="s">
        <v>572</v>
      </c>
      <c r="F187" t="s">
        <v>573</v>
      </c>
      <c r="G187" t="s">
        <v>574</v>
      </c>
      <c r="H187" t="s">
        <v>575</v>
      </c>
      <c r="I187" t="s">
        <v>298</v>
      </c>
      <c r="J187" t="s">
        <v>576</v>
      </c>
    </row>
    <row r="188" spans="1:25" x14ac:dyDescent="0.3">
      <c r="A188" s="2" t="s">
        <v>262</v>
      </c>
      <c r="B188">
        <v>1282.3</v>
      </c>
      <c r="C188" t="s">
        <v>299</v>
      </c>
      <c r="D188" t="s">
        <v>580</v>
      </c>
      <c r="E188" t="s">
        <v>572</v>
      </c>
      <c r="F188" t="s">
        <v>573</v>
      </c>
      <c r="G188" t="s">
        <v>574</v>
      </c>
      <c r="H188" t="s">
        <v>595</v>
      </c>
      <c r="I188" t="s">
        <v>596</v>
      </c>
      <c r="J188" t="s">
        <v>597</v>
      </c>
      <c r="K188" t="s">
        <v>341</v>
      </c>
      <c r="L188" t="s">
        <v>342</v>
      </c>
      <c r="M188" t="s">
        <v>311</v>
      </c>
      <c r="N188" t="s">
        <v>341</v>
      </c>
      <c r="O188" t="s">
        <v>343</v>
      </c>
      <c r="P188" t="s">
        <v>344</v>
      </c>
      <c r="Q188" t="s">
        <v>334</v>
      </c>
      <c r="R188" t="s">
        <v>345</v>
      </c>
      <c r="S188" t="s">
        <v>322</v>
      </c>
    </row>
    <row r="189" spans="1:25" x14ac:dyDescent="0.3">
      <c r="A189" s="2" t="s">
        <v>240</v>
      </c>
      <c r="B189">
        <v>1282.2</v>
      </c>
      <c r="C189" t="s">
        <v>299</v>
      </c>
      <c r="D189" t="s">
        <v>580</v>
      </c>
      <c r="E189" t="s">
        <v>572</v>
      </c>
      <c r="F189" t="s">
        <v>573</v>
      </c>
      <c r="G189" t="s">
        <v>574</v>
      </c>
      <c r="H189" t="s">
        <v>575</v>
      </c>
      <c r="I189" t="s">
        <v>298</v>
      </c>
      <c r="J189" t="s">
        <v>576</v>
      </c>
    </row>
    <row r="190" spans="1:25" x14ac:dyDescent="0.3">
      <c r="A190" s="2" t="s">
        <v>258</v>
      </c>
      <c r="B190">
        <v>1280.5</v>
      </c>
      <c r="C190" t="s">
        <v>299</v>
      </c>
      <c r="D190" t="s">
        <v>580</v>
      </c>
      <c r="E190" t="s">
        <v>572</v>
      </c>
      <c r="F190" t="s">
        <v>573</v>
      </c>
      <c r="G190" t="s">
        <v>574</v>
      </c>
      <c r="H190" t="s">
        <v>593</v>
      </c>
      <c r="I190" t="s">
        <v>594</v>
      </c>
      <c r="J190" t="s">
        <v>337</v>
      </c>
      <c r="K190" t="s">
        <v>305</v>
      </c>
      <c r="L190" t="s">
        <v>335</v>
      </c>
      <c r="M190" t="s">
        <v>336</v>
      </c>
      <c r="N190" t="s">
        <v>295</v>
      </c>
      <c r="O190" t="s">
        <v>338</v>
      </c>
      <c r="P190" t="s">
        <v>339</v>
      </c>
      <c r="Q190" t="s">
        <v>340</v>
      </c>
    </row>
    <row r="191" spans="1:25" x14ac:dyDescent="0.3">
      <c r="A191" s="2" t="s">
        <v>261</v>
      </c>
      <c r="B191">
        <v>1279.0999999999999</v>
      </c>
      <c r="C191" t="s">
        <v>299</v>
      </c>
      <c r="D191" t="s">
        <v>580</v>
      </c>
      <c r="E191" t="s">
        <v>572</v>
      </c>
      <c r="F191" t="s">
        <v>573</v>
      </c>
      <c r="G191" t="s">
        <v>574</v>
      </c>
      <c r="H191" t="s">
        <v>584</v>
      </c>
      <c r="I191" t="s">
        <v>585</v>
      </c>
      <c r="J191" t="s">
        <v>586</v>
      </c>
      <c r="K191" t="s">
        <v>303</v>
      </c>
      <c r="L191" t="s">
        <v>304</v>
      </c>
      <c r="M191" t="s">
        <v>305</v>
      </c>
      <c r="N191" t="s">
        <v>306</v>
      </c>
      <c r="O191" t="s">
        <v>307</v>
      </c>
      <c r="P191" t="s">
        <v>308</v>
      </c>
      <c r="Q191" t="s">
        <v>309</v>
      </c>
      <c r="R191" t="s">
        <v>310</v>
      </c>
      <c r="S191" t="s">
        <v>300</v>
      </c>
      <c r="T191" t="s">
        <v>311</v>
      </c>
      <c r="U191" t="s">
        <v>312</v>
      </c>
      <c r="V191" t="s">
        <v>313</v>
      </c>
      <c r="W191" t="s">
        <v>305</v>
      </c>
      <c r="X191" t="s">
        <v>300</v>
      </c>
      <c r="Y191" t="s">
        <v>314</v>
      </c>
    </row>
    <row r="192" spans="1:25" x14ac:dyDescent="0.3">
      <c r="A192" s="2" t="s">
        <v>257</v>
      </c>
      <c r="B192">
        <v>1275.7</v>
      </c>
      <c r="C192" t="s">
        <v>299</v>
      </c>
      <c r="D192" t="s">
        <v>580</v>
      </c>
      <c r="E192" t="s">
        <v>572</v>
      </c>
      <c r="F192" t="s">
        <v>573</v>
      </c>
      <c r="G192" t="s">
        <v>574</v>
      </c>
      <c r="H192" t="s">
        <v>575</v>
      </c>
      <c r="I192" t="s">
        <v>298</v>
      </c>
      <c r="J192" t="s">
        <v>576</v>
      </c>
    </row>
    <row r="193" spans="1:28" x14ac:dyDescent="0.3">
      <c r="A193" s="2" t="s">
        <v>259</v>
      </c>
      <c r="B193">
        <v>1271.4000000000001</v>
      </c>
      <c r="C193" t="s">
        <v>299</v>
      </c>
      <c r="D193" t="s">
        <v>580</v>
      </c>
      <c r="E193" t="s">
        <v>572</v>
      </c>
      <c r="F193" t="s">
        <v>573</v>
      </c>
      <c r="G193" t="s">
        <v>574</v>
      </c>
      <c r="H193" t="s">
        <v>575</v>
      </c>
      <c r="I193" t="s">
        <v>298</v>
      </c>
      <c r="J193" t="s">
        <v>576</v>
      </c>
    </row>
    <row r="194" spans="1:28" x14ac:dyDescent="0.3">
      <c r="A194" s="2" t="s">
        <v>243</v>
      </c>
      <c r="B194">
        <v>1271.2</v>
      </c>
      <c r="C194" t="s">
        <v>299</v>
      </c>
      <c r="D194" t="s">
        <v>580</v>
      </c>
      <c r="E194" t="s">
        <v>572</v>
      </c>
      <c r="F194" t="s">
        <v>573</v>
      </c>
      <c r="G194" t="s">
        <v>574</v>
      </c>
      <c r="H194" t="s">
        <v>575</v>
      </c>
      <c r="I194" t="s">
        <v>298</v>
      </c>
      <c r="J194" t="s">
        <v>576</v>
      </c>
    </row>
    <row r="195" spans="1:28" x14ac:dyDescent="0.3">
      <c r="A195" s="2" t="s">
        <v>245</v>
      </c>
      <c r="B195">
        <v>1268.5999999999999</v>
      </c>
      <c r="C195" t="s">
        <v>299</v>
      </c>
      <c r="D195" t="s">
        <v>580</v>
      </c>
      <c r="E195" t="s">
        <v>572</v>
      </c>
      <c r="F195" t="s">
        <v>573</v>
      </c>
      <c r="G195" t="s">
        <v>574</v>
      </c>
      <c r="H195" t="s">
        <v>575</v>
      </c>
      <c r="I195" t="s">
        <v>298</v>
      </c>
      <c r="J195" t="s">
        <v>576</v>
      </c>
    </row>
    <row r="196" spans="1:28" x14ac:dyDescent="0.3">
      <c r="A196" s="2" t="s">
        <v>271</v>
      </c>
      <c r="B196">
        <v>1265</v>
      </c>
      <c r="C196">
        <v>2</v>
      </c>
      <c r="D196" t="s">
        <v>608</v>
      </c>
      <c r="E196" t="s">
        <v>572</v>
      </c>
      <c r="F196" t="s">
        <v>573</v>
      </c>
      <c r="G196" t="s">
        <v>574</v>
      </c>
      <c r="H196" t="s">
        <v>323</v>
      </c>
      <c r="I196" t="s">
        <v>606</v>
      </c>
      <c r="J196" t="s">
        <v>610</v>
      </c>
      <c r="K196" t="s">
        <v>416</v>
      </c>
      <c r="L196" t="s">
        <v>300</v>
      </c>
      <c r="M196" t="s">
        <v>417</v>
      </c>
      <c r="N196" t="s">
        <v>297</v>
      </c>
      <c r="O196" t="s">
        <v>418</v>
      </c>
      <c r="P196" t="s">
        <v>419</v>
      </c>
      <c r="Q196" t="s">
        <v>420</v>
      </c>
      <c r="R196" t="s">
        <v>305</v>
      </c>
    </row>
    <row r="197" spans="1:28" x14ac:dyDescent="0.3">
      <c r="A197" s="2" t="s">
        <v>242</v>
      </c>
      <c r="B197">
        <v>1263.9000000000001</v>
      </c>
      <c r="C197" t="s">
        <v>299</v>
      </c>
      <c r="D197" t="s">
        <v>580</v>
      </c>
      <c r="E197" t="s">
        <v>572</v>
      </c>
      <c r="F197" t="s">
        <v>573</v>
      </c>
      <c r="G197" t="s">
        <v>574</v>
      </c>
      <c r="H197" t="s">
        <v>575</v>
      </c>
      <c r="I197" t="s">
        <v>298</v>
      </c>
      <c r="J197" t="s">
        <v>576</v>
      </c>
    </row>
    <row r="198" spans="1:28" x14ac:dyDescent="0.3">
      <c r="A198" s="2" t="s">
        <v>259</v>
      </c>
      <c r="B198">
        <v>1263</v>
      </c>
      <c r="C198" t="s">
        <v>299</v>
      </c>
      <c r="D198" t="s">
        <v>580</v>
      </c>
      <c r="E198" t="s">
        <v>572</v>
      </c>
      <c r="F198" t="s">
        <v>573</v>
      </c>
      <c r="G198" t="s">
        <v>574</v>
      </c>
      <c r="H198" t="s">
        <v>587</v>
      </c>
      <c r="I198" t="s">
        <v>588</v>
      </c>
      <c r="J198" t="s">
        <v>589</v>
      </c>
      <c r="K198" t="s">
        <v>315</v>
      </c>
      <c r="L198" t="s">
        <v>316</v>
      </c>
      <c r="M198" t="s">
        <v>317</v>
      </c>
      <c r="N198" t="s">
        <v>318</v>
      </c>
    </row>
    <row r="199" spans="1:28" x14ac:dyDescent="0.3">
      <c r="A199" s="2" t="s">
        <v>265</v>
      </c>
      <c r="B199">
        <v>1260.5</v>
      </c>
      <c r="C199" t="s">
        <v>299</v>
      </c>
      <c r="D199" t="s">
        <v>580</v>
      </c>
      <c r="E199" t="s">
        <v>572</v>
      </c>
      <c r="F199" t="s">
        <v>573</v>
      </c>
      <c r="G199" t="s">
        <v>574</v>
      </c>
      <c r="H199" t="s">
        <v>600</v>
      </c>
      <c r="I199" t="s">
        <v>596</v>
      </c>
      <c r="J199" t="s">
        <v>597</v>
      </c>
      <c r="K199" t="s">
        <v>341</v>
      </c>
      <c r="L199" t="s">
        <v>342</v>
      </c>
      <c r="M199" t="s">
        <v>311</v>
      </c>
    </row>
    <row r="200" spans="1:28" x14ac:dyDescent="0.3">
      <c r="A200" s="2" t="s">
        <v>266</v>
      </c>
      <c r="B200">
        <v>1256.7</v>
      </c>
      <c r="C200" t="s">
        <v>299</v>
      </c>
      <c r="D200" t="s">
        <v>580</v>
      </c>
      <c r="E200" t="s">
        <v>572</v>
      </c>
      <c r="F200" t="s">
        <v>573</v>
      </c>
      <c r="G200" t="s">
        <v>574</v>
      </c>
      <c r="H200">
        <v>292</v>
      </c>
      <c r="I200" t="s">
        <v>121</v>
      </c>
      <c r="J200" t="s">
        <v>343</v>
      </c>
      <c r="K200" t="s">
        <v>344</v>
      </c>
      <c r="L200" t="s">
        <v>300</v>
      </c>
      <c r="M200" t="s">
        <v>359</v>
      </c>
      <c r="N200" t="s">
        <v>359</v>
      </c>
      <c r="O200" t="s">
        <v>334</v>
      </c>
      <c r="P200" t="s">
        <v>360</v>
      </c>
      <c r="Q200" t="s">
        <v>361</v>
      </c>
      <c r="R200" t="s">
        <v>345</v>
      </c>
      <c r="S200" t="s">
        <v>322</v>
      </c>
    </row>
    <row r="201" spans="1:28" x14ac:dyDescent="0.3">
      <c r="A201" s="2" t="s">
        <v>253</v>
      </c>
      <c r="B201">
        <v>1256</v>
      </c>
      <c r="C201" t="s">
        <v>299</v>
      </c>
      <c r="D201" t="s">
        <v>580</v>
      </c>
      <c r="E201" t="s">
        <v>572</v>
      </c>
      <c r="F201" t="s">
        <v>573</v>
      </c>
      <c r="G201" t="s">
        <v>574</v>
      </c>
      <c r="H201" t="s">
        <v>575</v>
      </c>
      <c r="I201" t="s">
        <v>298</v>
      </c>
      <c r="J201" t="s">
        <v>576</v>
      </c>
    </row>
    <row r="202" spans="1:28" x14ac:dyDescent="0.3">
      <c r="A202" s="2" t="s">
        <v>267</v>
      </c>
      <c r="B202">
        <v>1255.2</v>
      </c>
      <c r="C202" t="s">
        <v>299</v>
      </c>
      <c r="D202" t="s">
        <v>580</v>
      </c>
      <c r="E202" t="s">
        <v>572</v>
      </c>
      <c r="F202" t="s">
        <v>573</v>
      </c>
      <c r="G202" t="s">
        <v>574</v>
      </c>
      <c r="H202">
        <v>291</v>
      </c>
      <c r="I202" t="s">
        <v>602</v>
      </c>
      <c r="J202" t="s">
        <v>603</v>
      </c>
    </row>
    <row r="203" spans="1:28" x14ac:dyDescent="0.3">
      <c r="A203" s="2" t="s">
        <v>268</v>
      </c>
      <c r="B203">
        <v>1253.5999999999999</v>
      </c>
      <c r="C203" t="s">
        <v>299</v>
      </c>
      <c r="D203" t="s">
        <v>580</v>
      </c>
      <c r="E203" t="s">
        <v>572</v>
      </c>
      <c r="F203" t="s">
        <v>573</v>
      </c>
      <c r="G203" t="s">
        <v>574</v>
      </c>
      <c r="H203" s="23">
        <v>12.083333333333334</v>
      </c>
      <c r="I203" t="s">
        <v>604</v>
      </c>
      <c r="J203" t="s">
        <v>599</v>
      </c>
      <c r="K203" t="s">
        <v>362</v>
      </c>
      <c r="L203" t="s">
        <v>363</v>
      </c>
      <c r="M203">
        <v>5</v>
      </c>
    </row>
    <row r="204" spans="1:28" x14ac:dyDescent="0.3">
      <c r="A204" s="2" t="s">
        <v>270</v>
      </c>
      <c r="B204">
        <v>1251.7</v>
      </c>
      <c r="C204" t="s">
        <v>299</v>
      </c>
      <c r="D204" t="s">
        <v>580</v>
      </c>
      <c r="E204" t="s">
        <v>572</v>
      </c>
      <c r="F204" t="s">
        <v>573</v>
      </c>
      <c r="G204" t="s">
        <v>574</v>
      </c>
      <c r="H204" t="s">
        <v>323</v>
      </c>
      <c r="I204">
        <v>281</v>
      </c>
      <c r="J204" t="s">
        <v>606</v>
      </c>
      <c r="K204" t="s">
        <v>311</v>
      </c>
      <c r="L204" t="s">
        <v>300</v>
      </c>
      <c r="M204" t="s">
        <v>370</v>
      </c>
      <c r="N204" t="s">
        <v>305</v>
      </c>
    </row>
    <row r="205" spans="1:28" x14ac:dyDescent="0.3">
      <c r="A205" s="2" t="s">
        <v>271</v>
      </c>
      <c r="B205">
        <v>1250.5</v>
      </c>
      <c r="C205">
        <v>2</v>
      </c>
      <c r="D205" t="s">
        <v>608</v>
      </c>
      <c r="E205" t="s">
        <v>572</v>
      </c>
      <c r="F205" t="s">
        <v>573</v>
      </c>
      <c r="G205" t="s">
        <v>574</v>
      </c>
      <c r="H205" t="s">
        <v>611</v>
      </c>
      <c r="I205" t="s">
        <v>612</v>
      </c>
      <c r="J205" t="s">
        <v>613</v>
      </c>
      <c r="K205" t="s">
        <v>421</v>
      </c>
      <c r="L205" t="s">
        <v>300</v>
      </c>
      <c r="M205" t="s">
        <v>301</v>
      </c>
      <c r="N205" t="s">
        <v>422</v>
      </c>
      <c r="O205" t="s">
        <v>423</v>
      </c>
      <c r="P205" t="s">
        <v>424</v>
      </c>
      <c r="Q205" t="s">
        <v>306</v>
      </c>
      <c r="R205" t="s">
        <v>425</v>
      </c>
      <c r="S205" t="s">
        <v>306</v>
      </c>
      <c r="T205" t="s">
        <v>273</v>
      </c>
    </row>
    <row r="206" spans="1:28" x14ac:dyDescent="0.3">
      <c r="A206" s="2" t="s">
        <v>269</v>
      </c>
      <c r="B206">
        <v>1249.2</v>
      </c>
      <c r="C206" t="s">
        <v>299</v>
      </c>
      <c r="D206" t="s">
        <v>580</v>
      </c>
      <c r="E206" t="s">
        <v>572</v>
      </c>
      <c r="F206" t="s">
        <v>573</v>
      </c>
      <c r="G206" t="s">
        <v>574</v>
      </c>
      <c r="H206" t="s">
        <v>323</v>
      </c>
      <c r="I206">
        <v>282</v>
      </c>
      <c r="J206" t="s">
        <v>605</v>
      </c>
      <c r="K206" t="s">
        <v>309</v>
      </c>
      <c r="L206" t="s">
        <v>364</v>
      </c>
      <c r="M206" t="s">
        <v>365</v>
      </c>
      <c r="N206" t="s">
        <v>366</v>
      </c>
      <c r="O206" t="s">
        <v>367</v>
      </c>
      <c r="P206" t="s">
        <v>368</v>
      </c>
      <c r="Q206" t="s">
        <v>369</v>
      </c>
      <c r="R206" t="s">
        <v>327</v>
      </c>
      <c r="S206" t="s">
        <v>343</v>
      </c>
    </row>
    <row r="207" spans="1:28" x14ac:dyDescent="0.3">
      <c r="A207" s="2" t="s">
        <v>271</v>
      </c>
      <c r="B207">
        <v>1247.9000000000001</v>
      </c>
      <c r="C207">
        <v>2</v>
      </c>
      <c r="D207" t="s">
        <v>608</v>
      </c>
      <c r="E207" t="s">
        <v>572</v>
      </c>
      <c r="F207" t="s">
        <v>573</v>
      </c>
      <c r="G207" t="s">
        <v>574</v>
      </c>
      <c r="H207" t="s">
        <v>609</v>
      </c>
      <c r="I207" t="s">
        <v>405</v>
      </c>
      <c r="J207" t="s">
        <v>406</v>
      </c>
      <c r="K207" t="s">
        <v>407</v>
      </c>
      <c r="L207" t="s">
        <v>356</v>
      </c>
      <c r="M207" t="s">
        <v>371</v>
      </c>
      <c r="N207" t="s">
        <v>372</v>
      </c>
      <c r="O207" t="s">
        <v>308</v>
      </c>
      <c r="P207" t="s">
        <v>408</v>
      </c>
      <c r="Q207" t="s">
        <v>330</v>
      </c>
      <c r="R207" t="s">
        <v>409</v>
      </c>
      <c r="S207" t="s">
        <v>317</v>
      </c>
      <c r="T207" t="s">
        <v>305</v>
      </c>
      <c r="U207" t="s">
        <v>410</v>
      </c>
      <c r="V207" t="s">
        <v>367</v>
      </c>
      <c r="W207" t="s">
        <v>411</v>
      </c>
      <c r="X207" t="s">
        <v>297</v>
      </c>
      <c r="Y207" t="s">
        <v>412</v>
      </c>
      <c r="Z207" t="s">
        <v>413</v>
      </c>
      <c r="AA207" t="s">
        <v>414</v>
      </c>
      <c r="AB207" t="s">
        <v>415</v>
      </c>
    </row>
    <row r="208" spans="1:28" x14ac:dyDescent="0.3">
      <c r="A208" s="2" t="s">
        <v>255</v>
      </c>
      <c r="B208">
        <v>1242.3</v>
      </c>
      <c r="C208" t="s">
        <v>299</v>
      </c>
      <c r="D208" t="s">
        <v>580</v>
      </c>
      <c r="E208" t="s">
        <v>572</v>
      </c>
      <c r="F208" t="s">
        <v>573</v>
      </c>
      <c r="G208" t="s">
        <v>574</v>
      </c>
      <c r="H208" t="s">
        <v>575</v>
      </c>
      <c r="I208" t="s">
        <v>298</v>
      </c>
      <c r="J208" t="s">
        <v>576</v>
      </c>
    </row>
    <row r="209" spans="1:38" x14ac:dyDescent="0.3">
      <c r="A209" s="2" t="s">
        <v>271</v>
      </c>
      <c r="B209">
        <v>1239.2</v>
      </c>
      <c r="C209">
        <v>2</v>
      </c>
      <c r="D209" t="s">
        <v>608</v>
      </c>
      <c r="E209" t="s">
        <v>572</v>
      </c>
      <c r="F209" t="s">
        <v>573</v>
      </c>
      <c r="G209" t="s">
        <v>574</v>
      </c>
      <c r="H209" t="s">
        <v>405</v>
      </c>
      <c r="I209" t="s">
        <v>406</v>
      </c>
      <c r="J209" t="s">
        <v>407</v>
      </c>
      <c r="K209" t="s">
        <v>356</v>
      </c>
      <c r="L209" t="s">
        <v>371</v>
      </c>
      <c r="M209" t="s">
        <v>372</v>
      </c>
      <c r="N209" t="s">
        <v>308</v>
      </c>
      <c r="O209" t="s">
        <v>373</v>
      </c>
    </row>
    <row r="210" spans="1:38" x14ac:dyDescent="0.3">
      <c r="A210" s="2" t="s">
        <v>274</v>
      </c>
      <c r="B210">
        <v>1233.5</v>
      </c>
      <c r="C210">
        <v>2</v>
      </c>
      <c r="D210" t="s">
        <v>608</v>
      </c>
      <c r="E210" t="s">
        <v>572</v>
      </c>
      <c r="F210" t="s">
        <v>573</v>
      </c>
      <c r="G210" t="s">
        <v>574</v>
      </c>
      <c r="H210" t="s">
        <v>616</v>
      </c>
      <c r="I210" t="s">
        <v>420</v>
      </c>
      <c r="J210" t="s">
        <v>405</v>
      </c>
      <c r="K210" t="s">
        <v>434</v>
      </c>
      <c r="L210" t="s">
        <v>435</v>
      </c>
      <c r="M210" t="s">
        <v>436</v>
      </c>
      <c r="N210" t="s">
        <v>437</v>
      </c>
      <c r="O210" t="s">
        <v>409</v>
      </c>
    </row>
    <row r="211" spans="1:38" x14ac:dyDescent="0.3">
      <c r="A211" s="2" t="s">
        <v>256</v>
      </c>
      <c r="B211">
        <v>1231.5</v>
      </c>
      <c r="C211" t="s">
        <v>299</v>
      </c>
      <c r="D211" t="s">
        <v>580</v>
      </c>
      <c r="E211" t="s">
        <v>572</v>
      </c>
      <c r="F211" t="s">
        <v>573</v>
      </c>
      <c r="G211" t="s">
        <v>574</v>
      </c>
      <c r="H211" t="s">
        <v>575</v>
      </c>
      <c r="I211" t="s">
        <v>298</v>
      </c>
      <c r="J211" t="s">
        <v>576</v>
      </c>
    </row>
    <row r="212" spans="1:38" x14ac:dyDescent="0.3">
      <c r="A212" s="2" t="s">
        <v>353</v>
      </c>
      <c r="B212">
        <v>1230.7</v>
      </c>
      <c r="C212" t="s">
        <v>601</v>
      </c>
      <c r="D212" t="s">
        <v>299</v>
      </c>
      <c r="E212" t="s">
        <v>580</v>
      </c>
      <c r="F212" t="s">
        <v>572</v>
      </c>
      <c r="G212" t="s">
        <v>573</v>
      </c>
      <c r="H212" t="s">
        <v>574</v>
      </c>
      <c r="I212" t="s">
        <v>354</v>
      </c>
      <c r="J212" t="s">
        <v>355</v>
      </c>
      <c r="K212" t="s">
        <v>356</v>
      </c>
      <c r="L212" t="s">
        <v>357</v>
      </c>
      <c r="M212" t="s">
        <v>358</v>
      </c>
    </row>
    <row r="213" spans="1:38" x14ac:dyDescent="0.3">
      <c r="A213" s="2" t="s">
        <v>273</v>
      </c>
      <c r="B213">
        <v>1230.3</v>
      </c>
      <c r="C213">
        <v>2</v>
      </c>
      <c r="D213" t="s">
        <v>608</v>
      </c>
      <c r="E213" t="s">
        <v>572</v>
      </c>
      <c r="F213" t="s">
        <v>573</v>
      </c>
      <c r="G213" t="s">
        <v>574</v>
      </c>
      <c r="H213" t="s">
        <v>323</v>
      </c>
      <c r="I213" t="s">
        <v>330</v>
      </c>
      <c r="J213" t="s">
        <v>615</v>
      </c>
      <c r="K213" t="s">
        <v>430</v>
      </c>
      <c r="L213" t="s">
        <v>428</v>
      </c>
      <c r="M213" t="s">
        <v>311</v>
      </c>
      <c r="N213" t="s">
        <v>300</v>
      </c>
      <c r="O213" t="s">
        <v>299</v>
      </c>
      <c r="P213" t="s">
        <v>295</v>
      </c>
      <c r="Q213" t="s">
        <v>335</v>
      </c>
      <c r="R213" t="s">
        <v>313</v>
      </c>
    </row>
    <row r="214" spans="1:38" x14ac:dyDescent="0.3">
      <c r="A214" s="2" t="s">
        <v>264</v>
      </c>
      <c r="B214">
        <v>1226.7</v>
      </c>
      <c r="C214" t="s">
        <v>299</v>
      </c>
      <c r="D214" t="s">
        <v>580</v>
      </c>
      <c r="E214" t="s">
        <v>572</v>
      </c>
      <c r="F214" t="s">
        <v>573</v>
      </c>
      <c r="G214" t="s">
        <v>574</v>
      </c>
      <c r="H214" t="s">
        <v>600</v>
      </c>
      <c r="I214" t="s">
        <v>596</v>
      </c>
      <c r="J214" t="s">
        <v>597</v>
      </c>
      <c r="K214" t="s">
        <v>341</v>
      </c>
      <c r="L214" t="s">
        <v>342</v>
      </c>
      <c r="M214" t="s">
        <v>311</v>
      </c>
      <c r="N214" t="s">
        <v>351</v>
      </c>
      <c r="O214" t="s">
        <v>298</v>
      </c>
      <c r="P214" t="s">
        <v>352</v>
      </c>
    </row>
    <row r="215" spans="1:38" x14ac:dyDescent="0.3">
      <c r="A215" s="2" t="s">
        <v>246</v>
      </c>
      <c r="B215">
        <v>1225.5</v>
      </c>
      <c r="C215" t="s">
        <v>299</v>
      </c>
      <c r="D215" t="s">
        <v>580</v>
      </c>
      <c r="E215" t="s">
        <v>572</v>
      </c>
      <c r="F215" t="s">
        <v>573</v>
      </c>
      <c r="G215" t="s">
        <v>574</v>
      </c>
      <c r="H215" t="s">
        <v>575</v>
      </c>
      <c r="I215" t="s">
        <v>298</v>
      </c>
      <c r="J215" t="s">
        <v>576</v>
      </c>
    </row>
    <row r="216" spans="1:38" x14ac:dyDescent="0.3">
      <c r="A216" s="2" t="s">
        <v>258</v>
      </c>
      <c r="B216">
        <v>1224.5999999999999</v>
      </c>
      <c r="C216" t="s">
        <v>299</v>
      </c>
      <c r="D216" t="s">
        <v>580</v>
      </c>
      <c r="E216" t="s">
        <v>572</v>
      </c>
      <c r="F216" t="s">
        <v>573</v>
      </c>
      <c r="G216" t="s">
        <v>574</v>
      </c>
      <c r="H216" t="s">
        <v>583</v>
      </c>
      <c r="I216" t="s">
        <v>300</v>
      </c>
      <c r="J216" t="s">
        <v>301</v>
      </c>
      <c r="K216" t="s">
        <v>302</v>
      </c>
    </row>
    <row r="217" spans="1:38" x14ac:dyDescent="0.3">
      <c r="A217" s="2" t="s">
        <v>272</v>
      </c>
      <c r="B217">
        <v>1224.5</v>
      </c>
      <c r="C217">
        <v>2</v>
      </c>
      <c r="D217" t="s">
        <v>608</v>
      </c>
      <c r="E217" t="s">
        <v>572</v>
      </c>
      <c r="F217" t="s">
        <v>573</v>
      </c>
      <c r="G217" t="s">
        <v>574</v>
      </c>
      <c r="H217" t="s">
        <v>614</v>
      </c>
      <c r="I217" t="s">
        <v>319</v>
      </c>
      <c r="J217" t="s">
        <v>317</v>
      </c>
      <c r="K217" t="s">
        <v>320</v>
      </c>
      <c r="L217" t="s">
        <v>300</v>
      </c>
      <c r="M217" t="s">
        <v>337</v>
      </c>
      <c r="N217" t="s">
        <v>305</v>
      </c>
    </row>
    <row r="218" spans="1:38" x14ac:dyDescent="0.3">
      <c r="A218" s="2" t="s">
        <v>460</v>
      </c>
      <c r="B218">
        <v>1217.7</v>
      </c>
      <c r="C218">
        <v>2</v>
      </c>
      <c r="D218" t="s">
        <v>608</v>
      </c>
      <c r="E218" t="s">
        <v>572</v>
      </c>
      <c r="F218" t="s">
        <v>573</v>
      </c>
      <c r="G218" t="s">
        <v>574</v>
      </c>
      <c r="H218" t="s">
        <v>305</v>
      </c>
      <c r="I218" t="s">
        <v>466</v>
      </c>
      <c r="J218" t="s">
        <v>624</v>
      </c>
      <c r="K218" t="s">
        <v>467</v>
      </c>
    </row>
    <row r="219" spans="1:38" x14ac:dyDescent="0.3">
      <c r="A219" s="2" t="s">
        <v>263</v>
      </c>
      <c r="B219">
        <v>1211.3</v>
      </c>
      <c r="C219" t="s">
        <v>299</v>
      </c>
      <c r="D219" t="s">
        <v>580</v>
      </c>
      <c r="E219" t="s">
        <v>572</v>
      </c>
      <c r="F219" t="s">
        <v>573</v>
      </c>
      <c r="G219" t="s">
        <v>574</v>
      </c>
      <c r="H219" t="s">
        <v>598</v>
      </c>
      <c r="I219" t="s">
        <v>599</v>
      </c>
      <c r="J219">
        <v>29</v>
      </c>
      <c r="K219" t="s">
        <v>346</v>
      </c>
      <c r="L219" t="s">
        <v>347</v>
      </c>
      <c r="M219" t="s">
        <v>348</v>
      </c>
      <c r="N219" t="s">
        <v>349</v>
      </c>
      <c r="O219" t="s">
        <v>300</v>
      </c>
      <c r="P219" t="s">
        <v>350</v>
      </c>
    </row>
    <row r="220" spans="1:38" x14ac:dyDescent="0.3">
      <c r="A220" s="2" t="s">
        <v>488</v>
      </c>
      <c r="B220">
        <v>1200.2</v>
      </c>
      <c r="C220">
        <v>2</v>
      </c>
      <c r="D220" t="s">
        <v>608</v>
      </c>
      <c r="E220" t="s">
        <v>572</v>
      </c>
      <c r="F220" t="s">
        <v>573</v>
      </c>
      <c r="G220" t="s">
        <v>574</v>
      </c>
      <c r="H220" t="s">
        <v>323</v>
      </c>
      <c r="I220" t="s">
        <v>633</v>
      </c>
      <c r="J220" t="s">
        <v>634</v>
      </c>
      <c r="K220" t="s">
        <v>300</v>
      </c>
      <c r="L220" t="s">
        <v>417</v>
      </c>
      <c r="M220" t="s">
        <v>312</v>
      </c>
      <c r="N220" t="s">
        <v>313</v>
      </c>
      <c r="O220" t="s">
        <v>305</v>
      </c>
      <c r="P220" t="s">
        <v>300</v>
      </c>
      <c r="Q220" t="s">
        <v>489</v>
      </c>
      <c r="R220" t="s">
        <v>490</v>
      </c>
      <c r="S220" t="s">
        <v>414</v>
      </c>
      <c r="T220" t="s">
        <v>491</v>
      </c>
      <c r="U220" t="s">
        <v>317</v>
      </c>
      <c r="V220" t="s">
        <v>305</v>
      </c>
      <c r="W220" t="s">
        <v>492</v>
      </c>
      <c r="X220" t="s">
        <v>493</v>
      </c>
      <c r="Y220" t="s">
        <v>297</v>
      </c>
      <c r="Z220" t="s">
        <v>494</v>
      </c>
      <c r="AA220" t="s">
        <v>330</v>
      </c>
      <c r="AB220" t="s">
        <v>495</v>
      </c>
      <c r="AC220" t="s">
        <v>336</v>
      </c>
      <c r="AD220" t="s">
        <v>415</v>
      </c>
      <c r="AE220" t="s">
        <v>496</v>
      </c>
      <c r="AF220" t="s">
        <v>406</v>
      </c>
      <c r="AG220" t="s">
        <v>497</v>
      </c>
      <c r="AH220" t="s">
        <v>492</v>
      </c>
      <c r="AI220" t="s">
        <v>417</v>
      </c>
      <c r="AJ220" t="s">
        <v>498</v>
      </c>
      <c r="AK220" t="s">
        <v>297</v>
      </c>
      <c r="AL220" t="s">
        <v>499</v>
      </c>
    </row>
    <row r="221" spans="1:38" x14ac:dyDescent="0.3">
      <c r="A221" s="2" t="s">
        <v>275</v>
      </c>
      <c r="B221">
        <v>1196.4000000000001</v>
      </c>
      <c r="C221">
        <v>2</v>
      </c>
      <c r="D221" t="s">
        <v>608</v>
      </c>
      <c r="E221" t="s">
        <v>572</v>
      </c>
      <c r="F221" t="s">
        <v>573</v>
      </c>
      <c r="G221" t="s">
        <v>574</v>
      </c>
      <c r="H221" t="s">
        <v>323</v>
      </c>
      <c r="I221" t="s">
        <v>592</v>
      </c>
      <c r="J221" t="s">
        <v>422</v>
      </c>
      <c r="K221" t="s">
        <v>365</v>
      </c>
      <c r="L221" t="s">
        <v>438</v>
      </c>
      <c r="M221" t="s">
        <v>439</v>
      </c>
      <c r="N221" t="s">
        <v>440</v>
      </c>
      <c r="O221" t="s">
        <v>441</v>
      </c>
      <c r="P221" t="s">
        <v>429</v>
      </c>
      <c r="Q221" t="s">
        <v>299</v>
      </c>
      <c r="R221" t="s">
        <v>427</v>
      </c>
      <c r="S221" t="s">
        <v>431</v>
      </c>
      <c r="T221" t="s">
        <v>428</v>
      </c>
      <c r="U221" t="s">
        <v>442</v>
      </c>
      <c r="V221" t="s">
        <v>443</v>
      </c>
      <c r="W221" t="s">
        <v>444</v>
      </c>
      <c r="X221" t="s">
        <v>414</v>
      </c>
      <c r="Y221" t="s">
        <v>445</v>
      </c>
      <c r="Z221" t="s">
        <v>367</v>
      </c>
      <c r="AA221" t="s">
        <v>446</v>
      </c>
      <c r="AB221" t="s">
        <v>300</v>
      </c>
      <c r="AC221">
        <v>30</v>
      </c>
      <c r="AD221" t="s">
        <v>447</v>
      </c>
    </row>
    <row r="222" spans="1:38" x14ac:dyDescent="0.3">
      <c r="A222" s="2" t="s">
        <v>460</v>
      </c>
      <c r="B222">
        <v>1176</v>
      </c>
      <c r="C222">
        <v>2</v>
      </c>
      <c r="D222" t="s">
        <v>608</v>
      </c>
      <c r="E222" t="s">
        <v>572</v>
      </c>
      <c r="F222" t="s">
        <v>573</v>
      </c>
      <c r="G222" t="s">
        <v>574</v>
      </c>
      <c r="H222" t="s">
        <v>620</v>
      </c>
      <c r="I222" t="s">
        <v>621</v>
      </c>
      <c r="J222" t="s">
        <v>622</v>
      </c>
    </row>
    <row r="223" spans="1:38" x14ac:dyDescent="0.3">
      <c r="A223" s="2" t="s">
        <v>460</v>
      </c>
      <c r="B223">
        <v>1175.5999999999999</v>
      </c>
      <c r="C223">
        <v>2</v>
      </c>
      <c r="D223" t="s">
        <v>608</v>
      </c>
      <c r="E223" t="s">
        <v>572</v>
      </c>
      <c r="F223" t="s">
        <v>573</v>
      </c>
      <c r="G223" t="s">
        <v>574</v>
      </c>
      <c r="H223" t="s">
        <v>323</v>
      </c>
      <c r="I223" t="s">
        <v>625</v>
      </c>
      <c r="J223" t="s">
        <v>626</v>
      </c>
      <c r="K223" t="s">
        <v>468</v>
      </c>
      <c r="L223" t="s">
        <v>469</v>
      </c>
      <c r="M223" t="s">
        <v>426</v>
      </c>
      <c r="N223" t="s">
        <v>470</v>
      </c>
      <c r="O223" t="s">
        <v>471</v>
      </c>
    </row>
    <row r="224" spans="1:38" x14ac:dyDescent="0.3">
      <c r="A224" s="2" t="s">
        <v>460</v>
      </c>
      <c r="B224">
        <v>1171.5999999999999</v>
      </c>
      <c r="C224">
        <v>2</v>
      </c>
      <c r="D224" t="s">
        <v>608</v>
      </c>
      <c r="E224" t="s">
        <v>572</v>
      </c>
      <c r="F224" t="s">
        <v>573</v>
      </c>
      <c r="G224" t="s">
        <v>574</v>
      </c>
      <c r="H224" t="s">
        <v>323</v>
      </c>
      <c r="I224" t="s">
        <v>432</v>
      </c>
      <c r="J224" t="s">
        <v>309</v>
      </c>
      <c r="K224" t="s">
        <v>461</v>
      </c>
      <c r="L224" t="s">
        <v>311</v>
      </c>
      <c r="M224" t="s">
        <v>337</v>
      </c>
      <c r="N224" t="s">
        <v>300</v>
      </c>
      <c r="O224" t="s">
        <v>373</v>
      </c>
      <c r="P224" t="s">
        <v>422</v>
      </c>
      <c r="Q224" t="s">
        <v>414</v>
      </c>
      <c r="R224" t="s">
        <v>462</v>
      </c>
    </row>
    <row r="225" spans="1:31" x14ac:dyDescent="0.3">
      <c r="A225" s="2" t="s">
        <v>448</v>
      </c>
      <c r="B225">
        <v>1169.9000000000001</v>
      </c>
      <c r="C225">
        <v>2</v>
      </c>
      <c r="D225" t="s">
        <v>608</v>
      </c>
      <c r="E225" t="s">
        <v>572</v>
      </c>
      <c r="F225" t="s">
        <v>573</v>
      </c>
      <c r="G225" t="s">
        <v>574</v>
      </c>
      <c r="H225" t="s">
        <v>323</v>
      </c>
      <c r="I225" t="s">
        <v>330</v>
      </c>
      <c r="J225" t="s">
        <v>364</v>
      </c>
      <c r="K225" t="s">
        <v>365</v>
      </c>
      <c r="L225" t="s">
        <v>454</v>
      </c>
      <c r="M225" t="s">
        <v>455</v>
      </c>
      <c r="N225" t="s">
        <v>309</v>
      </c>
      <c r="O225" t="s">
        <v>456</v>
      </c>
      <c r="P225" t="s">
        <v>300</v>
      </c>
      <c r="Q225" t="s">
        <v>457</v>
      </c>
      <c r="R225" t="s">
        <v>458</v>
      </c>
      <c r="S225" t="s">
        <v>446</v>
      </c>
      <c r="T225" t="s">
        <v>459</v>
      </c>
      <c r="U225" t="s">
        <v>444</v>
      </c>
      <c r="V225" t="s">
        <v>414</v>
      </c>
      <c r="W225" t="s">
        <v>445</v>
      </c>
    </row>
    <row r="226" spans="1:31" x14ac:dyDescent="0.3">
      <c r="A226" s="2" t="s">
        <v>448</v>
      </c>
      <c r="B226">
        <v>1162.7</v>
      </c>
      <c r="C226">
        <v>2</v>
      </c>
      <c r="D226" t="s">
        <v>608</v>
      </c>
      <c r="E226" t="s">
        <v>572</v>
      </c>
      <c r="F226" t="s">
        <v>573</v>
      </c>
      <c r="G226" t="s">
        <v>574</v>
      </c>
      <c r="H226" t="s">
        <v>618</v>
      </c>
      <c r="I226" t="s">
        <v>619</v>
      </c>
      <c r="J226" t="s">
        <v>617</v>
      </c>
      <c r="K226" t="s">
        <v>426</v>
      </c>
      <c r="L226" t="s">
        <v>311</v>
      </c>
      <c r="M226" t="s">
        <v>300</v>
      </c>
      <c r="N226" t="s">
        <v>449</v>
      </c>
      <c r="O226" t="s">
        <v>433</v>
      </c>
      <c r="P226" t="s">
        <v>450</v>
      </c>
      <c r="Q226" t="s">
        <v>451</v>
      </c>
      <c r="R226" t="s">
        <v>300</v>
      </c>
      <c r="S226" t="s">
        <v>452</v>
      </c>
    </row>
    <row r="227" spans="1:31" x14ac:dyDescent="0.3">
      <c r="A227" s="2" t="s">
        <v>460</v>
      </c>
      <c r="B227">
        <v>1145.5999999999999</v>
      </c>
      <c r="C227">
        <v>2</v>
      </c>
      <c r="D227" t="s">
        <v>608</v>
      </c>
      <c r="E227" t="s">
        <v>572</v>
      </c>
      <c r="F227" t="s">
        <v>573</v>
      </c>
      <c r="G227" t="s">
        <v>574</v>
      </c>
      <c r="H227" t="s">
        <v>323</v>
      </c>
      <c r="I227" t="s">
        <v>623</v>
      </c>
      <c r="J227" t="s">
        <v>309</v>
      </c>
      <c r="K227" t="s">
        <v>461</v>
      </c>
      <c r="L227" t="s">
        <v>463</v>
      </c>
      <c r="M227" t="s">
        <v>464</v>
      </c>
      <c r="N227" t="s">
        <v>299</v>
      </c>
      <c r="O227" t="s">
        <v>459</v>
      </c>
      <c r="P227" t="s">
        <v>300</v>
      </c>
      <c r="Q227" t="s">
        <v>311</v>
      </c>
      <c r="R227" t="s">
        <v>300</v>
      </c>
      <c r="S227" t="s">
        <v>299</v>
      </c>
      <c r="T227" t="s">
        <v>328</v>
      </c>
      <c r="U227" t="s">
        <v>465</v>
      </c>
    </row>
    <row r="228" spans="1:31" x14ac:dyDescent="0.3">
      <c r="A228" s="2" t="s">
        <v>460</v>
      </c>
      <c r="B228">
        <v>1138.7</v>
      </c>
      <c r="C228">
        <v>2</v>
      </c>
      <c r="D228" t="s">
        <v>608</v>
      </c>
      <c r="E228" t="s">
        <v>572</v>
      </c>
      <c r="F228" t="s">
        <v>573</v>
      </c>
      <c r="G228" t="s">
        <v>574</v>
      </c>
      <c r="H228" t="s">
        <v>627</v>
      </c>
      <c r="I228" t="s">
        <v>628</v>
      </c>
      <c r="J228" t="s">
        <v>629</v>
      </c>
      <c r="K228" t="s">
        <v>455</v>
      </c>
      <c r="L228" t="s">
        <v>472</v>
      </c>
      <c r="M228" t="s">
        <v>473</v>
      </c>
      <c r="N228" t="s">
        <v>311</v>
      </c>
      <c r="O228" t="s">
        <v>474</v>
      </c>
    </row>
    <row r="229" spans="1:31" x14ac:dyDescent="0.3">
      <c r="A229" s="2" t="s">
        <v>500</v>
      </c>
      <c r="B229">
        <v>1136.9000000000001</v>
      </c>
      <c r="C229">
        <v>2</v>
      </c>
      <c r="D229" t="s">
        <v>608</v>
      </c>
      <c r="E229" t="s">
        <v>572</v>
      </c>
      <c r="F229" t="s">
        <v>573</v>
      </c>
      <c r="G229" t="s">
        <v>574</v>
      </c>
      <c r="H229" t="s">
        <v>640</v>
      </c>
      <c r="I229" t="s">
        <v>641</v>
      </c>
      <c r="J229" t="s">
        <v>503</v>
      </c>
      <c r="K229" t="s">
        <v>367</v>
      </c>
      <c r="L229" t="s">
        <v>320</v>
      </c>
      <c r="M229" t="s">
        <v>300</v>
      </c>
      <c r="N229" t="s">
        <v>299</v>
      </c>
      <c r="O229" t="s">
        <v>459</v>
      </c>
    </row>
    <row r="230" spans="1:31" x14ac:dyDescent="0.3">
      <c r="A230" s="2" t="s">
        <v>271</v>
      </c>
      <c r="B230">
        <v>1126.0999999999999</v>
      </c>
      <c r="C230" t="s">
        <v>299</v>
      </c>
      <c r="D230" t="s">
        <v>580</v>
      </c>
      <c r="E230" t="s">
        <v>572</v>
      </c>
      <c r="F230" t="s">
        <v>573</v>
      </c>
      <c r="G230" t="s">
        <v>574</v>
      </c>
      <c r="H230" t="s">
        <v>607</v>
      </c>
      <c r="I230" t="s">
        <v>607</v>
      </c>
    </row>
    <row r="231" spans="1:31" x14ac:dyDescent="0.3">
      <c r="A231" s="2" t="s">
        <v>475</v>
      </c>
      <c r="B231">
        <v>1125.9000000000001</v>
      </c>
      <c r="C231">
        <v>2</v>
      </c>
      <c r="D231" t="s">
        <v>608</v>
      </c>
      <c r="E231" t="s">
        <v>572</v>
      </c>
      <c r="F231" t="s">
        <v>573</v>
      </c>
      <c r="G231" t="s">
        <v>574</v>
      </c>
      <c r="H231" t="s">
        <v>323</v>
      </c>
      <c r="I231" t="s">
        <v>631</v>
      </c>
      <c r="J231" t="s">
        <v>632</v>
      </c>
      <c r="K231" t="s">
        <v>323</v>
      </c>
      <c r="L231" t="s">
        <v>485</v>
      </c>
      <c r="M231" t="s">
        <v>433</v>
      </c>
      <c r="N231" t="s">
        <v>453</v>
      </c>
      <c r="O231" t="s">
        <v>356</v>
      </c>
      <c r="P231" t="s">
        <v>486</v>
      </c>
      <c r="Q231" t="s">
        <v>487</v>
      </c>
      <c r="R231" t="s">
        <v>343</v>
      </c>
    </row>
    <row r="232" spans="1:31" x14ac:dyDescent="0.3">
      <c r="A232" s="2" t="s">
        <v>271</v>
      </c>
      <c r="B232">
        <v>1123.8</v>
      </c>
      <c r="C232" t="s">
        <v>299</v>
      </c>
      <c r="D232" t="s">
        <v>580</v>
      </c>
      <c r="E232" t="s">
        <v>572</v>
      </c>
      <c r="F232" t="s">
        <v>573</v>
      </c>
      <c r="G232" t="s">
        <v>574</v>
      </c>
      <c r="H232" t="s">
        <v>607</v>
      </c>
      <c r="I232" t="s">
        <v>607</v>
      </c>
    </row>
    <row r="233" spans="1:31" x14ac:dyDescent="0.3">
      <c r="A233" s="2" t="s">
        <v>500</v>
      </c>
      <c r="B233">
        <v>1121.7</v>
      </c>
      <c r="C233">
        <v>2</v>
      </c>
      <c r="D233" t="s">
        <v>608</v>
      </c>
      <c r="E233" t="s">
        <v>572</v>
      </c>
      <c r="F233" t="s">
        <v>573</v>
      </c>
      <c r="G233" t="s">
        <v>574</v>
      </c>
      <c r="H233" t="s">
        <v>637</v>
      </c>
      <c r="I233" t="s">
        <v>638</v>
      </c>
      <c r="J233" t="s">
        <v>639</v>
      </c>
      <c r="K233" t="s">
        <v>487</v>
      </c>
      <c r="L233" t="s">
        <v>459</v>
      </c>
      <c r="M233" t="s">
        <v>422</v>
      </c>
      <c r="N233" t="s">
        <v>476</v>
      </c>
      <c r="O233" t="s">
        <v>501</v>
      </c>
      <c r="P233" t="s">
        <v>466</v>
      </c>
      <c r="Q233" t="s">
        <v>502</v>
      </c>
    </row>
    <row r="234" spans="1:31" x14ac:dyDescent="0.3">
      <c r="A234" s="2" t="s">
        <v>500</v>
      </c>
      <c r="B234">
        <v>1111.7</v>
      </c>
      <c r="C234">
        <v>2</v>
      </c>
      <c r="D234" t="s">
        <v>608</v>
      </c>
      <c r="E234" t="s">
        <v>572</v>
      </c>
      <c r="F234" t="s">
        <v>573</v>
      </c>
      <c r="G234" t="s">
        <v>574</v>
      </c>
      <c r="H234" t="s">
        <v>642</v>
      </c>
      <c r="I234" t="s">
        <v>638</v>
      </c>
      <c r="J234" t="s">
        <v>639</v>
      </c>
      <c r="K234" t="s">
        <v>487</v>
      </c>
      <c r="L234" t="s">
        <v>459</v>
      </c>
      <c r="M234" t="s">
        <v>422</v>
      </c>
      <c r="N234" t="s">
        <v>476</v>
      </c>
      <c r="O234" t="s">
        <v>501</v>
      </c>
      <c r="P234" t="s">
        <v>466</v>
      </c>
      <c r="Q234" t="s">
        <v>502</v>
      </c>
    </row>
    <row r="235" spans="1:31" x14ac:dyDescent="0.3">
      <c r="A235" s="2" t="s">
        <v>475</v>
      </c>
      <c r="B235">
        <v>1109.5</v>
      </c>
      <c r="C235">
        <v>2</v>
      </c>
      <c r="D235" t="s">
        <v>608</v>
      </c>
      <c r="E235" t="s">
        <v>572</v>
      </c>
      <c r="F235" t="s">
        <v>573</v>
      </c>
      <c r="G235" t="s">
        <v>574</v>
      </c>
      <c r="H235" t="s">
        <v>323</v>
      </c>
      <c r="I235" t="s">
        <v>630</v>
      </c>
      <c r="J235" t="s">
        <v>428</v>
      </c>
      <c r="K235" t="s">
        <v>305</v>
      </c>
      <c r="L235" t="s">
        <v>422</v>
      </c>
      <c r="M235" t="s">
        <v>476</v>
      </c>
      <c r="N235" t="s">
        <v>477</v>
      </c>
      <c r="O235" t="s">
        <v>323</v>
      </c>
      <c r="P235" t="s">
        <v>478</v>
      </c>
      <c r="Q235" t="s">
        <v>479</v>
      </c>
      <c r="R235" t="s">
        <v>431</v>
      </c>
      <c r="S235" t="s">
        <v>308</v>
      </c>
      <c r="T235" t="s">
        <v>337</v>
      </c>
      <c r="U235" t="s">
        <v>305</v>
      </c>
      <c r="V235" t="s">
        <v>335</v>
      </c>
      <c r="W235" t="s">
        <v>336</v>
      </c>
      <c r="X235" t="s">
        <v>480</v>
      </c>
      <c r="Y235" t="s">
        <v>481</v>
      </c>
      <c r="Z235" t="s">
        <v>482</v>
      </c>
      <c r="AA235" t="s">
        <v>300</v>
      </c>
      <c r="AB235" t="s">
        <v>483</v>
      </c>
      <c r="AC235" t="s">
        <v>338</v>
      </c>
      <c r="AD235" t="s">
        <v>339</v>
      </c>
      <c r="AE235" t="s">
        <v>484</v>
      </c>
    </row>
    <row r="236" spans="1:31" x14ac:dyDescent="0.3">
      <c r="A236" s="2" t="s">
        <v>488</v>
      </c>
      <c r="B236">
        <v>1096.4000000000001</v>
      </c>
      <c r="C236">
        <v>2</v>
      </c>
      <c r="D236" t="s">
        <v>608</v>
      </c>
      <c r="E236" t="s">
        <v>572</v>
      </c>
      <c r="F236" t="s">
        <v>573</v>
      </c>
      <c r="G236" t="s">
        <v>574</v>
      </c>
      <c r="H236" t="s">
        <v>635</v>
      </c>
      <c r="I236" t="s">
        <v>636</v>
      </c>
      <c r="J236">
        <v>22</v>
      </c>
    </row>
    <row r="237" spans="1:31" x14ac:dyDescent="0.3">
      <c r="A237" s="2" t="s">
        <v>522</v>
      </c>
      <c r="B237">
        <v>1036.7</v>
      </c>
      <c r="C237">
        <v>2</v>
      </c>
      <c r="D237" t="s">
        <v>608</v>
      </c>
      <c r="E237" t="s">
        <v>572</v>
      </c>
      <c r="F237" t="s">
        <v>573</v>
      </c>
      <c r="G237" t="s">
        <v>574</v>
      </c>
      <c r="H237" t="s">
        <v>655</v>
      </c>
      <c r="I237" t="s">
        <v>114</v>
      </c>
      <c r="J237" t="s">
        <v>492</v>
      </c>
      <c r="K237" t="s">
        <v>523</v>
      </c>
      <c r="L237" t="s">
        <v>373</v>
      </c>
      <c r="M237" t="s">
        <v>300</v>
      </c>
      <c r="N237">
        <v>6</v>
      </c>
    </row>
    <row r="238" spans="1:31" x14ac:dyDescent="0.3">
      <c r="A238" s="2" t="s">
        <v>521</v>
      </c>
      <c r="B238">
        <v>1024.7</v>
      </c>
      <c r="C238">
        <v>2</v>
      </c>
      <c r="D238" t="s">
        <v>608</v>
      </c>
      <c r="E238" t="s">
        <v>572</v>
      </c>
      <c r="F238" t="s">
        <v>573</v>
      </c>
      <c r="G238" t="s">
        <v>574</v>
      </c>
      <c r="H238" t="s">
        <v>652</v>
      </c>
      <c r="I238" t="s">
        <v>121</v>
      </c>
      <c r="J238" t="s">
        <v>654</v>
      </c>
      <c r="K238" t="s">
        <v>356</v>
      </c>
      <c r="L238" t="s">
        <v>503</v>
      </c>
    </row>
    <row r="239" spans="1:31" x14ac:dyDescent="0.3">
      <c r="A239" s="2" t="s">
        <v>527</v>
      </c>
      <c r="B239">
        <v>1016.1</v>
      </c>
      <c r="C239">
        <v>2</v>
      </c>
      <c r="D239" t="s">
        <v>608</v>
      </c>
      <c r="E239" t="s">
        <v>572</v>
      </c>
      <c r="F239" t="s">
        <v>573</v>
      </c>
      <c r="G239" t="s">
        <v>574</v>
      </c>
      <c r="H239" t="s">
        <v>324</v>
      </c>
      <c r="I239" t="s">
        <v>656</v>
      </c>
      <c r="J239" t="s">
        <v>657</v>
      </c>
      <c r="K239" t="s">
        <v>121</v>
      </c>
      <c r="L239" t="s">
        <v>528</v>
      </c>
      <c r="M239" t="s">
        <v>495</v>
      </c>
    </row>
    <row r="240" spans="1:31" x14ac:dyDescent="0.3">
      <c r="A240" s="2" t="s">
        <v>532</v>
      </c>
      <c r="B240">
        <v>1014.7</v>
      </c>
      <c r="C240">
        <v>2</v>
      </c>
      <c r="D240" t="s">
        <v>608</v>
      </c>
      <c r="E240" t="s">
        <v>572</v>
      </c>
      <c r="F240" t="s">
        <v>573</v>
      </c>
      <c r="G240" t="s">
        <v>574</v>
      </c>
      <c r="H240" t="s">
        <v>405</v>
      </c>
      <c r="I240">
        <v>14</v>
      </c>
      <c r="J240" t="s">
        <v>121</v>
      </c>
      <c r="K240" t="s">
        <v>534</v>
      </c>
      <c r="L240" t="s">
        <v>300</v>
      </c>
      <c r="M240" t="s">
        <v>343</v>
      </c>
    </row>
    <row r="241" spans="1:24" x14ac:dyDescent="0.3">
      <c r="A241" s="2" t="s">
        <v>521</v>
      </c>
      <c r="B241">
        <v>1007.2</v>
      </c>
      <c r="C241">
        <v>2</v>
      </c>
      <c r="D241" t="s">
        <v>608</v>
      </c>
      <c r="E241" t="s">
        <v>572</v>
      </c>
      <c r="F241" t="s">
        <v>573</v>
      </c>
      <c r="G241" t="s">
        <v>574</v>
      </c>
      <c r="H241" t="s">
        <v>652</v>
      </c>
      <c r="I241" t="s">
        <v>653</v>
      </c>
      <c r="J241" t="s">
        <v>631</v>
      </c>
    </row>
    <row r="242" spans="1:24" x14ac:dyDescent="0.3">
      <c r="A242" s="2" t="s">
        <v>520</v>
      </c>
      <c r="B242">
        <v>1001.3</v>
      </c>
      <c r="C242">
        <v>2</v>
      </c>
      <c r="D242" t="s">
        <v>608</v>
      </c>
      <c r="E242" t="s">
        <v>572</v>
      </c>
      <c r="F242" t="s">
        <v>573</v>
      </c>
      <c r="G242" t="s">
        <v>574</v>
      </c>
      <c r="H242" t="s">
        <v>651</v>
      </c>
      <c r="I242" t="s">
        <v>650</v>
      </c>
    </row>
    <row r="243" spans="1:24" x14ac:dyDescent="0.3">
      <c r="A243" s="2" t="s">
        <v>504</v>
      </c>
      <c r="B243">
        <v>999.6</v>
      </c>
      <c r="C243">
        <v>2</v>
      </c>
      <c r="D243" t="s">
        <v>608</v>
      </c>
      <c r="E243" t="s">
        <v>572</v>
      </c>
      <c r="F243" t="s">
        <v>573</v>
      </c>
      <c r="G243" t="s">
        <v>574</v>
      </c>
      <c r="H243" t="s">
        <v>315</v>
      </c>
      <c r="I243" t="s">
        <v>645</v>
      </c>
      <c r="J243" t="s">
        <v>334</v>
      </c>
      <c r="K243" t="s">
        <v>508</v>
      </c>
      <c r="L243" t="s">
        <v>509</v>
      </c>
      <c r="M243" t="s">
        <v>510</v>
      </c>
      <c r="N243" t="s">
        <v>457</v>
      </c>
      <c r="O243" t="s">
        <v>461</v>
      </c>
      <c r="P243" t="s">
        <v>511</v>
      </c>
      <c r="Q243" t="s">
        <v>512</v>
      </c>
      <c r="R243" t="s">
        <v>306</v>
      </c>
      <c r="S243" t="s">
        <v>365</v>
      </c>
      <c r="T243" t="s">
        <v>413</v>
      </c>
      <c r="U243" t="s">
        <v>513</v>
      </c>
      <c r="V243" t="s">
        <v>514</v>
      </c>
      <c r="W243" t="s">
        <v>300</v>
      </c>
      <c r="X243" t="s">
        <v>505</v>
      </c>
    </row>
    <row r="244" spans="1:24" x14ac:dyDescent="0.3">
      <c r="A244" s="2" t="s">
        <v>504</v>
      </c>
      <c r="B244">
        <v>999.1</v>
      </c>
      <c r="C244">
        <v>2</v>
      </c>
      <c r="D244" t="s">
        <v>608</v>
      </c>
      <c r="E244" t="s">
        <v>572</v>
      </c>
      <c r="F244" t="s">
        <v>573</v>
      </c>
      <c r="G244" t="s">
        <v>574</v>
      </c>
      <c r="H244" t="s">
        <v>323</v>
      </c>
      <c r="I244" t="s">
        <v>644</v>
      </c>
      <c r="J244" t="s">
        <v>505</v>
      </c>
      <c r="K244" t="s">
        <v>300</v>
      </c>
      <c r="L244" t="s">
        <v>459</v>
      </c>
      <c r="M244" t="s">
        <v>306</v>
      </c>
      <c r="N244" t="s">
        <v>506</v>
      </c>
      <c r="O244" t="s">
        <v>507</v>
      </c>
      <c r="P244" t="s">
        <v>372</v>
      </c>
      <c r="Q244" t="s">
        <v>308</v>
      </c>
      <c r="R244" t="s">
        <v>505</v>
      </c>
    </row>
    <row r="245" spans="1:24" x14ac:dyDescent="0.3">
      <c r="A245" s="2" t="s">
        <v>515</v>
      </c>
      <c r="B245">
        <v>998.7</v>
      </c>
      <c r="C245">
        <v>2</v>
      </c>
      <c r="D245" t="s">
        <v>608</v>
      </c>
      <c r="E245" t="s">
        <v>572</v>
      </c>
      <c r="F245" t="s">
        <v>573</v>
      </c>
      <c r="G245" t="s">
        <v>574</v>
      </c>
      <c r="H245" t="s">
        <v>575</v>
      </c>
      <c r="I245" t="s">
        <v>298</v>
      </c>
      <c r="J245" t="s">
        <v>576</v>
      </c>
    </row>
    <row r="246" spans="1:24" x14ac:dyDescent="0.3">
      <c r="A246" s="2" t="s">
        <v>548</v>
      </c>
      <c r="B246">
        <v>997.4</v>
      </c>
      <c r="C246">
        <v>2</v>
      </c>
      <c r="D246" t="s">
        <v>608</v>
      </c>
      <c r="E246" t="s">
        <v>572</v>
      </c>
      <c r="F246" t="s">
        <v>573</v>
      </c>
      <c r="G246" t="s">
        <v>574</v>
      </c>
      <c r="H246" t="s">
        <v>405</v>
      </c>
      <c r="I246">
        <v>11</v>
      </c>
      <c r="J246" t="s">
        <v>356</v>
      </c>
      <c r="K246" t="s">
        <v>549</v>
      </c>
      <c r="L246" t="s">
        <v>550</v>
      </c>
      <c r="M246" t="s">
        <v>551</v>
      </c>
    </row>
    <row r="247" spans="1:24" x14ac:dyDescent="0.3">
      <c r="A247" s="2" t="s">
        <v>504</v>
      </c>
      <c r="B247">
        <v>994</v>
      </c>
      <c r="C247">
        <v>2</v>
      </c>
      <c r="D247" t="s">
        <v>608</v>
      </c>
      <c r="E247" t="s">
        <v>572</v>
      </c>
      <c r="F247" t="s">
        <v>573</v>
      </c>
      <c r="G247" t="s">
        <v>574</v>
      </c>
      <c r="H247" t="s">
        <v>323</v>
      </c>
      <c r="I247" t="s">
        <v>643</v>
      </c>
      <c r="J247" t="s">
        <v>624</v>
      </c>
      <c r="K247" t="s">
        <v>305</v>
      </c>
      <c r="L247" t="s">
        <v>297</v>
      </c>
      <c r="M247" t="s">
        <v>337</v>
      </c>
    </row>
    <row r="248" spans="1:24" x14ac:dyDescent="0.3">
      <c r="A248" s="2" t="s">
        <v>522</v>
      </c>
      <c r="B248">
        <v>985.3</v>
      </c>
      <c r="C248">
        <v>2</v>
      </c>
      <c r="D248" t="s">
        <v>608</v>
      </c>
      <c r="E248" t="s">
        <v>572</v>
      </c>
      <c r="F248" t="s">
        <v>573</v>
      </c>
      <c r="G248" t="s">
        <v>574</v>
      </c>
      <c r="H248" t="s">
        <v>636</v>
      </c>
      <c r="I248">
        <v>16</v>
      </c>
      <c r="J248" t="s">
        <v>356</v>
      </c>
      <c r="K248" t="s">
        <v>524</v>
      </c>
      <c r="L248" t="s">
        <v>308</v>
      </c>
      <c r="M248" t="s">
        <v>373</v>
      </c>
      <c r="N248" t="s">
        <v>525</v>
      </c>
      <c r="O248" t="s">
        <v>526</v>
      </c>
      <c r="P248">
        <v>-3</v>
      </c>
    </row>
    <row r="249" spans="1:24" x14ac:dyDescent="0.3">
      <c r="A249" s="2" t="s">
        <v>527</v>
      </c>
      <c r="B249">
        <v>982.6</v>
      </c>
      <c r="C249">
        <v>2</v>
      </c>
      <c r="D249" t="s">
        <v>608</v>
      </c>
      <c r="E249" t="s">
        <v>572</v>
      </c>
      <c r="F249" t="s">
        <v>573</v>
      </c>
      <c r="G249" t="s">
        <v>574</v>
      </c>
      <c r="H249">
        <v>15</v>
      </c>
      <c r="I249" t="s">
        <v>599</v>
      </c>
      <c r="J249">
        <v>14</v>
      </c>
      <c r="K249" t="s">
        <v>341</v>
      </c>
      <c r="L249" t="s">
        <v>461</v>
      </c>
      <c r="M249" t="s">
        <v>529</v>
      </c>
      <c r="N249" t="s">
        <v>530</v>
      </c>
      <c r="O249" t="s">
        <v>531</v>
      </c>
      <c r="P249" t="s">
        <v>474</v>
      </c>
    </row>
    <row r="250" spans="1:24" x14ac:dyDescent="0.3">
      <c r="A250" s="2" t="s">
        <v>540</v>
      </c>
      <c r="B250">
        <v>975</v>
      </c>
      <c r="C250">
        <v>2</v>
      </c>
      <c r="D250" t="s">
        <v>608</v>
      </c>
      <c r="E250" t="s">
        <v>572</v>
      </c>
      <c r="F250" t="s">
        <v>573</v>
      </c>
      <c r="G250" t="s">
        <v>574</v>
      </c>
      <c r="H250" t="s">
        <v>405</v>
      </c>
      <c r="I250">
        <v>12</v>
      </c>
      <c r="J250" t="s">
        <v>663</v>
      </c>
      <c r="K250" t="s">
        <v>541</v>
      </c>
    </row>
    <row r="251" spans="1:24" x14ac:dyDescent="0.3">
      <c r="A251" s="2" t="s">
        <v>532</v>
      </c>
      <c r="B251">
        <v>970.3</v>
      </c>
      <c r="C251">
        <v>2</v>
      </c>
      <c r="D251" t="s">
        <v>608</v>
      </c>
      <c r="E251" t="s">
        <v>572</v>
      </c>
      <c r="F251" t="s">
        <v>573</v>
      </c>
      <c r="G251" t="s">
        <v>574</v>
      </c>
      <c r="H251">
        <v>14</v>
      </c>
      <c r="I251" t="s">
        <v>660</v>
      </c>
      <c r="J251" t="s">
        <v>599</v>
      </c>
      <c r="K251" t="s">
        <v>538</v>
      </c>
    </row>
    <row r="252" spans="1:24" x14ac:dyDescent="0.3">
      <c r="A252" s="2" t="s">
        <v>518</v>
      </c>
      <c r="B252">
        <v>967.4</v>
      </c>
      <c r="C252">
        <v>2</v>
      </c>
      <c r="D252" t="s">
        <v>608</v>
      </c>
      <c r="E252" t="s">
        <v>572</v>
      </c>
      <c r="F252" t="s">
        <v>573</v>
      </c>
      <c r="G252" t="s">
        <v>574</v>
      </c>
      <c r="H252" t="s">
        <v>497</v>
      </c>
      <c r="I252" t="s">
        <v>645</v>
      </c>
      <c r="J252" t="s">
        <v>649</v>
      </c>
    </row>
    <row r="253" spans="1:24" x14ac:dyDescent="0.3">
      <c r="A253" s="2" t="s">
        <v>521</v>
      </c>
      <c r="B253">
        <v>967.1</v>
      </c>
      <c r="C253">
        <v>2</v>
      </c>
      <c r="D253" t="s">
        <v>608</v>
      </c>
      <c r="E253" t="s">
        <v>572</v>
      </c>
      <c r="F253" t="s">
        <v>573</v>
      </c>
      <c r="G253" t="s">
        <v>574</v>
      </c>
      <c r="H253" t="s">
        <v>575</v>
      </c>
      <c r="I253" t="s">
        <v>298</v>
      </c>
      <c r="J253" t="s">
        <v>576</v>
      </c>
    </row>
    <row r="254" spans="1:24" x14ac:dyDescent="0.3">
      <c r="A254" s="2" t="s">
        <v>532</v>
      </c>
      <c r="B254">
        <v>966.1</v>
      </c>
      <c r="C254">
        <v>2</v>
      </c>
      <c r="D254" t="s">
        <v>608</v>
      </c>
      <c r="E254" t="s">
        <v>572</v>
      </c>
      <c r="F254" t="s">
        <v>573</v>
      </c>
      <c r="G254" t="s">
        <v>574</v>
      </c>
      <c r="H254">
        <v>14</v>
      </c>
      <c r="I254" t="s">
        <v>356</v>
      </c>
      <c r="J254" t="s">
        <v>528</v>
      </c>
      <c r="K254" t="s">
        <v>533</v>
      </c>
    </row>
    <row r="255" spans="1:24" x14ac:dyDescent="0.3">
      <c r="A255" s="2" t="s">
        <v>539</v>
      </c>
      <c r="B255">
        <v>956.4</v>
      </c>
      <c r="C255">
        <v>2</v>
      </c>
      <c r="D255" t="s">
        <v>608</v>
      </c>
      <c r="E255" t="s">
        <v>572</v>
      </c>
      <c r="F255" t="s">
        <v>573</v>
      </c>
      <c r="G255" t="s">
        <v>574</v>
      </c>
      <c r="H255" t="s">
        <v>662</v>
      </c>
    </row>
    <row r="256" spans="1:24" x14ac:dyDescent="0.3">
      <c r="A256" s="2" t="s">
        <v>532</v>
      </c>
      <c r="B256">
        <v>955.7</v>
      </c>
      <c r="C256">
        <v>2</v>
      </c>
      <c r="D256" t="s">
        <v>608</v>
      </c>
      <c r="E256" t="s">
        <v>572</v>
      </c>
      <c r="F256" t="s">
        <v>573</v>
      </c>
      <c r="G256" t="s">
        <v>574</v>
      </c>
      <c r="H256" t="s">
        <v>658</v>
      </c>
      <c r="I256" t="s">
        <v>659</v>
      </c>
      <c r="J256" t="s">
        <v>528</v>
      </c>
      <c r="K256" t="s">
        <v>535</v>
      </c>
      <c r="L256" t="s">
        <v>536</v>
      </c>
      <c r="M256" t="s">
        <v>537</v>
      </c>
      <c r="N256" t="s">
        <v>333</v>
      </c>
      <c r="O256" t="s">
        <v>502</v>
      </c>
      <c r="P256" t="s">
        <v>343</v>
      </c>
    </row>
    <row r="257" spans="1:19" x14ac:dyDescent="0.3">
      <c r="A257" s="2" t="s">
        <v>539</v>
      </c>
      <c r="B257">
        <v>955.2</v>
      </c>
      <c r="C257">
        <v>2</v>
      </c>
      <c r="D257" t="s">
        <v>608</v>
      </c>
      <c r="E257" t="s">
        <v>572</v>
      </c>
      <c r="F257" t="s">
        <v>573</v>
      </c>
      <c r="G257" t="s">
        <v>574</v>
      </c>
      <c r="H257">
        <v>13</v>
      </c>
      <c r="I257" t="s">
        <v>661</v>
      </c>
    </row>
    <row r="258" spans="1:19" x14ac:dyDescent="0.3">
      <c r="A258" s="2" t="s">
        <v>516</v>
      </c>
      <c r="B258">
        <v>952.7</v>
      </c>
      <c r="C258">
        <v>2</v>
      </c>
      <c r="D258" t="s">
        <v>608</v>
      </c>
      <c r="E258" t="s">
        <v>572</v>
      </c>
      <c r="F258" t="s">
        <v>573</v>
      </c>
      <c r="G258" t="s">
        <v>574</v>
      </c>
      <c r="H258" t="s">
        <v>575</v>
      </c>
      <c r="I258" t="s">
        <v>298</v>
      </c>
      <c r="J258" t="s">
        <v>576</v>
      </c>
    </row>
    <row r="259" spans="1:19" x14ac:dyDescent="0.3">
      <c r="A259" s="2" t="s">
        <v>552</v>
      </c>
      <c r="B259">
        <v>948.5</v>
      </c>
      <c r="C259">
        <v>2</v>
      </c>
      <c r="D259" t="s">
        <v>608</v>
      </c>
      <c r="E259" t="s">
        <v>572</v>
      </c>
      <c r="F259" t="s">
        <v>573</v>
      </c>
      <c r="G259" t="s">
        <v>574</v>
      </c>
      <c r="H259" t="s">
        <v>405</v>
      </c>
      <c r="I259">
        <v>9</v>
      </c>
      <c r="J259" t="s">
        <v>121</v>
      </c>
      <c r="K259" t="s">
        <v>355</v>
      </c>
    </row>
    <row r="260" spans="1:19" x14ac:dyDescent="0.3">
      <c r="A260" s="2" t="s">
        <v>517</v>
      </c>
      <c r="B260">
        <v>940.6</v>
      </c>
      <c r="C260">
        <v>2</v>
      </c>
      <c r="D260" t="s">
        <v>608</v>
      </c>
      <c r="E260" t="s">
        <v>572</v>
      </c>
      <c r="F260" t="s">
        <v>573</v>
      </c>
      <c r="G260" t="s">
        <v>574</v>
      </c>
      <c r="H260" t="s">
        <v>575</v>
      </c>
      <c r="I260" t="s">
        <v>298</v>
      </c>
      <c r="J260" t="s">
        <v>576</v>
      </c>
    </row>
    <row r="261" spans="1:19" x14ac:dyDescent="0.3">
      <c r="A261" s="2" t="s">
        <v>553</v>
      </c>
      <c r="B261">
        <v>919.7</v>
      </c>
      <c r="C261">
        <v>2</v>
      </c>
      <c r="D261" t="s">
        <v>608</v>
      </c>
      <c r="E261" t="s">
        <v>572</v>
      </c>
      <c r="F261" t="s">
        <v>573</v>
      </c>
      <c r="G261" t="s">
        <v>574</v>
      </c>
      <c r="H261" t="s">
        <v>405</v>
      </c>
      <c r="I261">
        <v>8</v>
      </c>
    </row>
    <row r="262" spans="1:19" x14ac:dyDescent="0.3">
      <c r="A262" s="2" t="s">
        <v>540</v>
      </c>
      <c r="B262">
        <v>914.9</v>
      </c>
      <c r="C262">
        <v>2</v>
      </c>
      <c r="D262" t="s">
        <v>608</v>
      </c>
      <c r="E262" t="s">
        <v>572</v>
      </c>
      <c r="F262" t="s">
        <v>573</v>
      </c>
      <c r="G262" t="s">
        <v>574</v>
      </c>
      <c r="H262" t="s">
        <v>636</v>
      </c>
      <c r="I262">
        <v>12</v>
      </c>
      <c r="J262" t="s">
        <v>575</v>
      </c>
      <c r="K262" t="s">
        <v>506</v>
      </c>
    </row>
    <row r="263" spans="1:19" x14ac:dyDescent="0.3">
      <c r="A263" s="2" t="s">
        <v>540</v>
      </c>
      <c r="B263">
        <v>911</v>
      </c>
      <c r="C263">
        <v>2</v>
      </c>
      <c r="D263" t="s">
        <v>608</v>
      </c>
      <c r="E263" t="s">
        <v>572</v>
      </c>
      <c r="F263" t="s">
        <v>573</v>
      </c>
      <c r="G263" t="s">
        <v>574</v>
      </c>
      <c r="H263" t="s">
        <v>636</v>
      </c>
      <c r="I263">
        <v>12</v>
      </c>
      <c r="J263" t="s">
        <v>664</v>
      </c>
      <c r="K263" t="s">
        <v>542</v>
      </c>
      <c r="L263" t="s">
        <v>297</v>
      </c>
      <c r="M263" t="s">
        <v>543</v>
      </c>
      <c r="N263" t="s">
        <v>544</v>
      </c>
      <c r="O263" t="s">
        <v>373</v>
      </c>
      <c r="P263" t="s">
        <v>545</v>
      </c>
      <c r="Q263" t="s">
        <v>300</v>
      </c>
      <c r="R263" t="s">
        <v>546</v>
      </c>
      <c r="S263" t="s">
        <v>320</v>
      </c>
    </row>
    <row r="264" spans="1:19" x14ac:dyDescent="0.3">
      <c r="A264" s="2" t="s">
        <v>547</v>
      </c>
      <c r="B264">
        <v>910</v>
      </c>
      <c r="C264">
        <v>2</v>
      </c>
      <c r="D264" t="s">
        <v>608</v>
      </c>
      <c r="E264" t="s">
        <v>572</v>
      </c>
      <c r="F264" t="s">
        <v>573</v>
      </c>
      <c r="G264" t="s">
        <v>574</v>
      </c>
      <c r="H264" t="s">
        <v>405</v>
      </c>
      <c r="I264">
        <v>11</v>
      </c>
      <c r="J264" t="s">
        <v>535</v>
      </c>
      <c r="K264" t="s">
        <v>356</v>
      </c>
      <c r="L264" t="s">
        <v>534</v>
      </c>
      <c r="M264" t="s">
        <v>308</v>
      </c>
      <c r="N264" t="s">
        <v>445</v>
      </c>
    </row>
    <row r="265" spans="1:19" x14ac:dyDescent="0.3">
      <c r="A265" s="2" t="s">
        <v>558</v>
      </c>
      <c r="B265">
        <v>888.7</v>
      </c>
      <c r="C265">
        <v>2</v>
      </c>
      <c r="D265" t="s">
        <v>608</v>
      </c>
      <c r="E265" t="s">
        <v>572</v>
      </c>
      <c r="F265" t="s">
        <v>573</v>
      </c>
      <c r="G265" t="s">
        <v>574</v>
      </c>
      <c r="H265" t="s">
        <v>405</v>
      </c>
      <c r="I265">
        <v>3</v>
      </c>
      <c r="J265" t="s">
        <v>667</v>
      </c>
    </row>
    <row r="266" spans="1:19" x14ac:dyDescent="0.3">
      <c r="A266" s="2" t="s">
        <v>518</v>
      </c>
      <c r="B266">
        <v>877</v>
      </c>
      <c r="C266">
        <v>2</v>
      </c>
      <c r="D266" t="s">
        <v>608</v>
      </c>
      <c r="E266" t="s">
        <v>572</v>
      </c>
      <c r="F266" t="s">
        <v>573</v>
      </c>
      <c r="G266" t="s">
        <v>574</v>
      </c>
      <c r="H266" t="s">
        <v>646</v>
      </c>
      <c r="I266" t="s">
        <v>647</v>
      </c>
      <c r="J266" t="s">
        <v>648</v>
      </c>
      <c r="K266" t="s">
        <v>519</v>
      </c>
    </row>
    <row r="267" spans="1:19" x14ac:dyDescent="0.3">
      <c r="A267" s="2" t="s">
        <v>557</v>
      </c>
      <c r="B267">
        <v>871</v>
      </c>
      <c r="C267">
        <v>2</v>
      </c>
      <c r="D267" t="s">
        <v>608</v>
      </c>
      <c r="E267" t="s">
        <v>572</v>
      </c>
      <c r="F267" t="s">
        <v>573</v>
      </c>
      <c r="G267" t="s">
        <v>574</v>
      </c>
      <c r="H267" t="s">
        <v>405</v>
      </c>
      <c r="I267">
        <v>4</v>
      </c>
    </row>
    <row r="268" spans="1:19" x14ac:dyDescent="0.3">
      <c r="A268" s="2" t="s">
        <v>555</v>
      </c>
      <c r="B268">
        <v>862.1</v>
      </c>
      <c r="C268">
        <v>2</v>
      </c>
      <c r="D268" t="s">
        <v>608</v>
      </c>
      <c r="E268" t="s">
        <v>572</v>
      </c>
      <c r="F268" t="s">
        <v>573</v>
      </c>
      <c r="G268" t="s">
        <v>574</v>
      </c>
      <c r="H268" t="s">
        <v>405</v>
      </c>
      <c r="I268">
        <v>6</v>
      </c>
    </row>
    <row r="269" spans="1:19" x14ac:dyDescent="0.3">
      <c r="A269" s="2" t="s">
        <v>556</v>
      </c>
      <c r="B269">
        <v>851.2</v>
      </c>
      <c r="C269">
        <v>2</v>
      </c>
      <c r="D269" t="s">
        <v>608</v>
      </c>
      <c r="E269" t="s">
        <v>572</v>
      </c>
      <c r="F269" t="s">
        <v>573</v>
      </c>
      <c r="G269" t="s">
        <v>574</v>
      </c>
      <c r="H269" t="s">
        <v>405</v>
      </c>
      <c r="I269">
        <v>5</v>
      </c>
    </row>
    <row r="270" spans="1:19" x14ac:dyDescent="0.3">
      <c r="A270" s="2" t="s">
        <v>554</v>
      </c>
      <c r="B270">
        <v>845.3</v>
      </c>
      <c r="C270">
        <v>2</v>
      </c>
      <c r="D270" t="s">
        <v>608</v>
      </c>
      <c r="E270" t="s">
        <v>572</v>
      </c>
      <c r="F270" t="s">
        <v>573</v>
      </c>
      <c r="G270" t="s">
        <v>574</v>
      </c>
      <c r="H270" t="s">
        <v>405</v>
      </c>
      <c r="I270">
        <v>7</v>
      </c>
    </row>
    <row r="271" spans="1:19" x14ac:dyDescent="0.3">
      <c r="A271" s="2" t="s">
        <v>552</v>
      </c>
      <c r="B271">
        <v>771.2</v>
      </c>
      <c r="C271">
        <v>2</v>
      </c>
      <c r="D271" t="s">
        <v>608</v>
      </c>
      <c r="E271" t="s">
        <v>572</v>
      </c>
      <c r="F271" t="s">
        <v>573</v>
      </c>
      <c r="G271" t="s">
        <v>574</v>
      </c>
      <c r="H271" t="s">
        <v>665</v>
      </c>
      <c r="I271" t="s">
        <v>666</v>
      </c>
      <c r="J271" t="s">
        <v>481</v>
      </c>
      <c r="K271">
        <v>5</v>
      </c>
    </row>
  </sheetData>
  <sortState xmlns:xlrd2="http://schemas.microsoft.com/office/spreadsheetml/2017/richdata2" ref="B1:AL271">
    <sortCondition descending="1" ref="B1:B27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light</vt:lpstr>
      <vt:lpstr>summary</vt:lpstr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vito</dc:creator>
  <cp:lastModifiedBy>vito</cp:lastModifiedBy>
  <dcterms:created xsi:type="dcterms:W3CDTF">2015-06-05T18:17:20Z</dcterms:created>
  <dcterms:modified xsi:type="dcterms:W3CDTF">2021-11-23T11:50:04Z</dcterms:modified>
</cp:coreProperties>
</file>