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\luxai\simple\"/>
    </mc:Choice>
  </mc:AlternateContent>
  <xr:revisionPtr revIDLastSave="0" documentId="13_ncr:1_{9A8A4CFF-EB95-4B21-B9BE-C558B6FBD34A}" xr6:coauthVersionLast="47" xr6:coauthVersionMax="47" xr10:uidLastSave="{00000000-0000-0000-0000-000000000000}"/>
  <bookViews>
    <workbookView xWindow="-108" yWindow="-108" windowWidth="23256" windowHeight="12576" firstSheet="2" activeTab="2" xr2:uid="{00000000-000D-0000-FFFF-FFFF00000000}"/>
  </bookViews>
  <sheets>
    <sheet name="light" sheetId="1" r:id="rId1"/>
    <sheet name="imitate" sheetId="2" r:id="rId2"/>
    <sheet name="summary" sheetId="3" r:id="rId3"/>
    <sheet name="Sheet1" sheetId="5" r:id="rId4"/>
    <sheet name="Sheet2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4" i="3" l="1"/>
  <c r="G143" i="3"/>
  <c r="G142" i="3"/>
  <c r="G141" i="3"/>
  <c r="G140" i="3"/>
  <c r="I140" i="3" s="1"/>
  <c r="G139" i="3"/>
  <c r="I139" i="3" s="1"/>
  <c r="G138" i="3"/>
  <c r="H140" i="3"/>
  <c r="H139" i="3"/>
  <c r="J57" i="3"/>
  <c r="J67" i="3"/>
  <c r="J68" i="3"/>
  <c r="H152" i="3" l="1"/>
  <c r="G152" i="3"/>
  <c r="I152" i="3" s="1"/>
  <c r="H161" i="3"/>
  <c r="G161" i="3"/>
  <c r="I161" i="3" s="1"/>
  <c r="H160" i="3"/>
  <c r="G160" i="3"/>
  <c r="I160" i="3" s="1"/>
  <c r="M151" i="3"/>
  <c r="L151" i="3"/>
  <c r="K151" i="3" a="1"/>
  <c r="K151" i="3" s="1"/>
  <c r="N151" i="3" s="1"/>
  <c r="H151" i="3"/>
  <c r="G151" i="3"/>
  <c r="I151" i="3" s="1"/>
  <c r="M160" i="3"/>
  <c r="L160" i="3"/>
  <c r="K160" i="3" a="1"/>
  <c r="K160" i="3" s="1"/>
  <c r="N160" i="3" s="1"/>
  <c r="M159" i="3"/>
  <c r="L159" i="3"/>
  <c r="K159" i="3" a="1"/>
  <c r="K159" i="3" s="1"/>
  <c r="N159" i="3" s="1"/>
  <c r="H159" i="3"/>
  <c r="G159" i="3"/>
  <c r="I159" i="3" s="1"/>
  <c r="G157" i="3"/>
  <c r="G156" i="3"/>
  <c r="G155" i="3"/>
  <c r="I155" i="3" s="1"/>
  <c r="M154" i="3"/>
  <c r="L154" i="3"/>
  <c r="K154" i="3" a="1"/>
  <c r="K154" i="3" s="1"/>
  <c r="N154" i="3" s="1"/>
  <c r="H154" i="3"/>
  <c r="G154" i="3"/>
  <c r="I154" i="3" s="1"/>
  <c r="M155" i="3"/>
  <c r="L155" i="3"/>
  <c r="K155" i="3" a="1"/>
  <c r="K155" i="3" s="1"/>
  <c r="N155" i="3" s="1"/>
  <c r="H155" i="3"/>
  <c r="G163" i="3"/>
  <c r="I163" i="3" s="1"/>
  <c r="G162" i="3"/>
  <c r="I162" i="3" s="1"/>
  <c r="H164" i="3"/>
  <c r="G164" i="3"/>
  <c r="M163" i="3"/>
  <c r="L163" i="3"/>
  <c r="K163" i="3" a="1"/>
  <c r="K163" i="3" s="1"/>
  <c r="N163" i="3" s="1"/>
  <c r="H163" i="3"/>
  <c r="M131" i="3"/>
  <c r="M130" i="3"/>
  <c r="M164" i="3"/>
  <c r="M162" i="3"/>
  <c r="M161" i="3"/>
  <c r="M158" i="3"/>
  <c r="M157" i="3"/>
  <c r="M156" i="3"/>
  <c r="M153" i="3"/>
  <c r="M152" i="3"/>
  <c r="M150" i="3"/>
  <c r="M149" i="3"/>
  <c r="M148" i="3"/>
  <c r="M147" i="3"/>
  <c r="M146" i="3"/>
  <c r="L146" i="3"/>
  <c r="L162" i="3"/>
  <c r="K162" i="3" a="1"/>
  <c r="K162" i="3" s="1"/>
  <c r="H162" i="3"/>
  <c r="L161" i="3"/>
  <c r="K161" i="3" a="1"/>
  <c r="K161" i="3" s="1"/>
  <c r="N161" i="3" s="1"/>
  <c r="N162" i="3" l="1"/>
  <c r="L158" i="3"/>
  <c r="K158" i="3" a="1"/>
  <c r="K158" i="3" s="1"/>
  <c r="N158" i="3" s="1"/>
  <c r="H158" i="3"/>
  <c r="G158" i="3"/>
  <c r="I158" i="3" s="1"/>
  <c r="L166" i="3"/>
  <c r="L172" i="3"/>
  <c r="L171" i="3"/>
  <c r="L170" i="3"/>
  <c r="K172" i="3" a="1"/>
  <c r="K172" i="3" s="1"/>
  <c r="N172" i="3" s="1"/>
  <c r="K171" i="3" a="1"/>
  <c r="K171" i="3" s="1"/>
  <c r="K170" i="3" a="1"/>
  <c r="K170" i="3" s="1"/>
  <c r="K166" i="3"/>
  <c r="L124" i="3"/>
  <c r="L123" i="3"/>
  <c r="L116" i="3"/>
  <c r="L115" i="3"/>
  <c r="L114" i="3"/>
  <c r="L113" i="3"/>
  <c r="L132" i="3"/>
  <c r="L131" i="3"/>
  <c r="L130" i="3"/>
  <c r="K134" i="3" a="1"/>
  <c r="K134" i="3" s="1"/>
  <c r="L144" i="3"/>
  <c r="L143" i="3"/>
  <c r="L140" i="3"/>
  <c r="L139" i="3"/>
  <c r="L138" i="3"/>
  <c r="L137" i="3"/>
  <c r="L136" i="3"/>
  <c r="K144" i="3" a="1"/>
  <c r="K144" i="3" s="1"/>
  <c r="K143" i="3" a="1"/>
  <c r="K143" i="3" s="1"/>
  <c r="K140" i="3" a="1"/>
  <c r="K140" i="3" s="1"/>
  <c r="N140" i="3" s="1"/>
  <c r="K139" i="3" a="1"/>
  <c r="K139" i="3" s="1"/>
  <c r="K138" i="3" a="1"/>
  <c r="K138" i="3" s="1"/>
  <c r="K137" i="3" a="1"/>
  <c r="K137" i="3" s="1"/>
  <c r="L164" i="3"/>
  <c r="L157" i="3"/>
  <c r="L156" i="3"/>
  <c r="L153" i="3"/>
  <c r="L152" i="3"/>
  <c r="L150" i="3"/>
  <c r="L149" i="3"/>
  <c r="L148" i="3"/>
  <c r="L147" i="3"/>
  <c r="K164" i="3" a="1"/>
  <c r="K164" i="3" s="1"/>
  <c r="N164" i="3" s="1"/>
  <c r="K157" i="3" a="1"/>
  <c r="K157" i="3" s="1"/>
  <c r="N157" i="3" s="1"/>
  <c r="K156" i="3" a="1"/>
  <c r="K156" i="3" s="1"/>
  <c r="N156" i="3" s="1"/>
  <c r="K153" i="3" a="1"/>
  <c r="K153" i="3" s="1"/>
  <c r="N153" i="3" s="1"/>
  <c r="K152" i="3" a="1"/>
  <c r="K152" i="3" s="1"/>
  <c r="N152" i="3" s="1"/>
  <c r="K150" i="3" a="1"/>
  <c r="K150" i="3" s="1"/>
  <c r="K149" i="3" a="1"/>
  <c r="K149" i="3" s="1"/>
  <c r="N149" i="3" s="1"/>
  <c r="K148" i="3" a="1"/>
  <c r="K148" i="3" s="1"/>
  <c r="N148" i="3" s="1"/>
  <c r="K147" i="3" a="1"/>
  <c r="K147" i="3" s="1"/>
  <c r="N147" i="3" s="1"/>
  <c r="L145" i="3"/>
  <c r="K146" i="3" a="1"/>
  <c r="K146" i="3" s="1"/>
  <c r="N146" i="3" s="1"/>
  <c r="L169" i="3"/>
  <c r="L168" i="3"/>
  <c r="L167" i="3"/>
  <c r="L165" i="3"/>
  <c r="L135" i="3"/>
  <c r="L134" i="3"/>
  <c r="L133" i="3"/>
  <c r="L129" i="3"/>
  <c r="L128" i="3"/>
  <c r="L127" i="3"/>
  <c r="L126" i="3"/>
  <c r="L125" i="3"/>
  <c r="H157" i="3"/>
  <c r="I157" i="3"/>
  <c r="H149" i="3"/>
  <c r="G149" i="3"/>
  <c r="I149" i="3" s="1"/>
  <c r="I164" i="3"/>
  <c r="H156" i="3"/>
  <c r="I156" i="3"/>
  <c r="G153" i="3"/>
  <c r="I153" i="3" s="1"/>
  <c r="G150" i="3"/>
  <c r="I150" i="3" s="1"/>
  <c r="G172" i="3"/>
  <c r="I172" i="3" s="1"/>
  <c r="H172" i="3"/>
  <c r="K169" i="3"/>
  <c r="K168" i="3"/>
  <c r="K167" i="3"/>
  <c r="H153" i="3"/>
  <c r="H150" i="3"/>
  <c r="G147" i="3"/>
  <c r="I147" i="3" s="1"/>
  <c r="G146" i="3"/>
  <c r="I146" i="3" s="1"/>
  <c r="G145" i="3"/>
  <c r="I145" i="3" s="1"/>
  <c r="H171" i="3"/>
  <c r="H170" i="3"/>
  <c r="H169" i="3"/>
  <c r="H168" i="3"/>
  <c r="H167" i="3"/>
  <c r="G171" i="3"/>
  <c r="I171" i="3" s="1"/>
  <c r="G169" i="3"/>
  <c r="I169" i="3" s="1"/>
  <c r="G168" i="3"/>
  <c r="I168" i="3" s="1"/>
  <c r="G167" i="3"/>
  <c r="I167" i="3" s="1"/>
  <c r="G166" i="3"/>
  <c r="I166" i="3" s="1"/>
  <c r="H148" i="3"/>
  <c r="G148" i="3"/>
  <c r="I148" i="3" s="1"/>
  <c r="H166" i="3"/>
  <c r="G170" i="3"/>
  <c r="I170" i="3" s="1"/>
  <c r="H146" i="3"/>
  <c r="H147" i="3"/>
  <c r="K49" i="3"/>
  <c r="K50" i="3"/>
  <c r="K53" i="3"/>
  <c r="K55" i="3"/>
  <c r="K59" i="3"/>
  <c r="K58" i="3"/>
  <c r="K57" i="3"/>
  <c r="K56" i="3"/>
  <c r="H145" i="3"/>
  <c r="N171" i="3" l="1"/>
  <c r="N139" i="3"/>
  <c r="N166" i="3"/>
  <c r="N170" i="3"/>
  <c r="N150" i="3"/>
  <c r="I144" i="3" l="1"/>
  <c r="I143" i="3"/>
  <c r="I142" i="3"/>
  <c r="I141" i="3"/>
  <c r="I138" i="3"/>
  <c r="G137" i="3"/>
  <c r="I137" i="3" s="1"/>
  <c r="G136" i="3"/>
  <c r="I136" i="3" s="1"/>
  <c r="G135" i="3"/>
  <c r="I135" i="3" s="1"/>
  <c r="G134" i="3"/>
  <c r="I134" i="3" s="1"/>
  <c r="G133" i="3"/>
  <c r="I133" i="3" s="1"/>
  <c r="G132" i="3"/>
  <c r="G131" i="3"/>
  <c r="I131" i="3" s="1"/>
  <c r="G130" i="3"/>
  <c r="I130" i="3" s="1"/>
  <c r="G129" i="3"/>
  <c r="I129" i="3" s="1"/>
  <c r="G128" i="3"/>
  <c r="I128" i="3" s="1"/>
  <c r="G127" i="3"/>
  <c r="I127" i="3" s="1"/>
  <c r="H131" i="3"/>
  <c r="H144" i="3"/>
  <c r="H143" i="3"/>
  <c r="H142" i="3"/>
  <c r="H141" i="3"/>
  <c r="H138" i="3"/>
  <c r="H137" i="3"/>
  <c r="H136" i="3"/>
  <c r="H135" i="3"/>
  <c r="H134" i="3"/>
  <c r="H133" i="3"/>
  <c r="H132" i="3"/>
  <c r="H130" i="3"/>
  <c r="H129" i="3"/>
  <c r="H128" i="3"/>
  <c r="H127" i="3"/>
  <c r="N144" i="3"/>
  <c r="A141" i="3"/>
  <c r="N137" i="3"/>
  <c r="N136" i="3"/>
  <c r="N135" i="3"/>
  <c r="N134" i="3"/>
  <c r="N133" i="3"/>
  <c r="N76" i="3"/>
  <c r="N98" i="3"/>
  <c r="G90" i="3"/>
  <c r="I90" i="3" s="1"/>
  <c r="G91" i="3"/>
  <c r="I91" i="3" s="1"/>
  <c r="K88" i="3"/>
  <c r="N88" i="3" s="1"/>
  <c r="K87" i="3"/>
  <c r="N87" i="3" s="1"/>
  <c r="N86" i="3"/>
  <c r="K85" i="3"/>
  <c r="N84" i="3"/>
  <c r="K83" i="3"/>
  <c r="N83" i="3" s="1"/>
  <c r="K82" i="3"/>
  <c r="K81" i="3"/>
  <c r="N80" i="3"/>
  <c r="N79" i="3"/>
  <c r="K65" i="3"/>
  <c r="N129" i="3"/>
  <c r="N128" i="3"/>
  <c r="N127" i="3"/>
  <c r="N126" i="3"/>
  <c r="N125" i="3"/>
  <c r="N123" i="3"/>
  <c r="N121" i="3"/>
  <c r="N118" i="3"/>
  <c r="N117" i="3"/>
  <c r="N116" i="3"/>
  <c r="K112" i="3"/>
  <c r="K111" i="3"/>
  <c r="K110" i="3"/>
  <c r="N110" i="3" s="1"/>
  <c r="N109" i="3"/>
  <c r="K108" i="3"/>
  <c r="N107" i="3"/>
  <c r="N106" i="3"/>
  <c r="K105" i="3"/>
  <c r="N105" i="3" s="1"/>
  <c r="K104" i="3"/>
  <c r="N104" i="3" s="1"/>
  <c r="N103" i="3"/>
  <c r="N102" i="3"/>
  <c r="K101" i="3"/>
  <c r="K100" i="3"/>
  <c r="K99" i="3"/>
  <c r="K97" i="3"/>
  <c r="K96" i="3"/>
  <c r="N96" i="3" s="1"/>
  <c r="K95" i="3"/>
  <c r="K94" i="3"/>
  <c r="N94" i="3" s="1"/>
  <c r="N93" i="3"/>
  <c r="K92" i="3"/>
  <c r="K91" i="3"/>
  <c r="I132" i="3"/>
  <c r="L141" i="3" l="1"/>
  <c r="K141" i="3" a="1"/>
  <c r="K141" i="3" s="1"/>
  <c r="N141" i="3" s="1"/>
  <c r="A142" i="3"/>
  <c r="N112" i="3"/>
  <c r="N143" i="3"/>
  <c r="N101" i="3"/>
  <c r="N82" i="3"/>
  <c r="N85" i="3"/>
  <c r="N97" i="3"/>
  <c r="N138" i="3"/>
  <c r="N111" i="3"/>
  <c r="N95" i="3"/>
  <c r="N113" i="3"/>
  <c r="N92" i="3"/>
  <c r="N130" i="3"/>
  <c r="N114" i="3"/>
  <c r="N100" i="3"/>
  <c r="N108" i="3"/>
  <c r="N124" i="3"/>
  <c r="N132" i="3"/>
  <c r="N91" i="3"/>
  <c r="N99" i="3"/>
  <c r="N131" i="3"/>
  <c r="N81" i="3"/>
  <c r="N115" i="3"/>
  <c r="K142" i="3" l="1" a="1"/>
  <c r="K142" i="3" s="1"/>
  <c r="N142" i="3" s="1"/>
  <c r="L142" i="3"/>
  <c r="G126" i="3"/>
  <c r="G125" i="3"/>
  <c r="G124" i="3"/>
  <c r="I124" i="3" s="1"/>
  <c r="G123" i="3"/>
  <c r="G122" i="3"/>
  <c r="I122" i="3" s="1"/>
  <c r="G121" i="3"/>
  <c r="G120" i="3" l="1"/>
  <c r="I120" i="3" s="1"/>
  <c r="G119" i="3"/>
  <c r="I119" i="3" s="1"/>
  <c r="G118" i="3"/>
  <c r="A118" i="3"/>
  <c r="G117" i="3"/>
  <c r="I117" i="3" s="1"/>
  <c r="G116" i="3"/>
  <c r="G115" i="3"/>
  <c r="I115" i="3" s="1"/>
  <c r="G114" i="3"/>
  <c r="I114" i="3" s="1"/>
  <c r="G113" i="3"/>
  <c r="I113" i="3" s="1"/>
  <c r="G112" i="3"/>
  <c r="I112" i="3" s="1"/>
  <c r="G111" i="3"/>
  <c r="I111" i="3" s="1"/>
  <c r="G110" i="3"/>
  <c r="I110" i="3" s="1"/>
  <c r="G109" i="3"/>
  <c r="G108" i="3"/>
  <c r="I108" i="3" s="1"/>
  <c r="G107" i="3"/>
  <c r="G106" i="3"/>
  <c r="G105" i="3"/>
  <c r="I105" i="3" s="1"/>
  <c r="G104" i="3"/>
  <c r="I104" i="3" s="1"/>
  <c r="G103" i="3"/>
  <c r="G102" i="3"/>
  <c r="G101" i="3"/>
  <c r="I101" i="3" s="1"/>
  <c r="G100" i="3"/>
  <c r="I100" i="3" s="1"/>
  <c r="G99" i="3"/>
  <c r="I99" i="3" s="1"/>
  <c r="G98" i="3"/>
  <c r="G97" i="3"/>
  <c r="I97" i="3" s="1"/>
  <c r="G96" i="3"/>
  <c r="I96" i="3" s="1"/>
  <c r="G95" i="3"/>
  <c r="I95" i="3" s="1"/>
  <c r="G94" i="3"/>
  <c r="I94" i="3" s="1"/>
  <c r="G93" i="3"/>
  <c r="G92" i="3"/>
  <c r="I92" i="3" s="1"/>
  <c r="G89" i="3"/>
  <c r="I89" i="3" s="1"/>
  <c r="G88" i="3"/>
  <c r="I88" i="3" s="1"/>
  <c r="G87" i="3"/>
  <c r="I87" i="3" s="1"/>
  <c r="G86" i="3"/>
  <c r="G85" i="3"/>
  <c r="I85" i="3" s="1"/>
  <c r="G84" i="3"/>
  <c r="G83" i="3"/>
  <c r="I83" i="3" s="1"/>
  <c r="G82" i="3"/>
  <c r="I82" i="3" s="1"/>
  <c r="G81" i="3"/>
  <c r="I81" i="3" s="1"/>
  <c r="G80" i="3"/>
  <c r="G79" i="3"/>
  <c r="A89" i="3"/>
  <c r="A119" i="3" l="1"/>
  <c r="A90" i="3"/>
  <c r="K90" i="3" s="1"/>
  <c r="N90" i="3" s="1"/>
  <c r="K89" i="3"/>
  <c r="N89" i="3" s="1"/>
  <c r="G78" i="3"/>
  <c r="I78" i="3" s="1"/>
  <c r="G77" i="3"/>
  <c r="I77" i="3" s="1"/>
  <c r="G76" i="3"/>
  <c r="G75" i="3"/>
  <c r="I75" i="3" s="1"/>
  <c r="G74" i="3"/>
  <c r="I74" i="3" s="1"/>
  <c r="G73" i="3"/>
  <c r="I73" i="3" s="1"/>
  <c r="G72" i="3"/>
  <c r="I72" i="3" s="1"/>
  <c r="G71" i="3"/>
  <c r="I71" i="3" s="1"/>
  <c r="G70" i="3"/>
  <c r="I70" i="3" s="1"/>
  <c r="G69" i="3"/>
  <c r="I69" i="3" s="1"/>
  <c r="G68" i="3"/>
  <c r="I68" i="3" s="1"/>
  <c r="G67" i="3"/>
  <c r="I67" i="3" s="1"/>
  <c r="G65" i="3"/>
  <c r="I65" i="3" s="1"/>
  <c r="G64" i="3"/>
  <c r="I64" i="3" s="1"/>
  <c r="G63" i="3"/>
  <c r="I63" i="3" s="1"/>
  <c r="G62" i="3"/>
  <c r="G61" i="3"/>
  <c r="A120" i="3" l="1"/>
  <c r="A121" i="3" s="1"/>
  <c r="L121" i="3" s="1"/>
  <c r="N120" i="3"/>
  <c r="N119" i="3"/>
  <c r="G59" i="3"/>
  <c r="G58" i="3"/>
  <c r="G57" i="3"/>
  <c r="G56" i="3"/>
  <c r="A61" i="3"/>
  <c r="G55" i="3"/>
  <c r="G54" i="3"/>
  <c r="G53" i="3"/>
  <c r="G52" i="3"/>
  <c r="G51" i="3"/>
  <c r="G50" i="3"/>
  <c r="G49" i="3"/>
  <c r="L120" i="3" l="1"/>
  <c r="A122" i="3"/>
  <c r="A62" i="3"/>
  <c r="K61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8" i="3"/>
  <c r="G27" i="3"/>
  <c r="G25" i="3"/>
  <c r="G24" i="3"/>
  <c r="G23" i="3"/>
  <c r="G22" i="3"/>
  <c r="G19" i="3"/>
  <c r="N122" i="3" l="1"/>
  <c r="L122" i="3"/>
  <c r="A63" i="3"/>
  <c r="K62" i="3"/>
  <c r="A64" i="3" l="1"/>
  <c r="K63" i="3"/>
  <c r="A66" i="3" l="1"/>
  <c r="K64" i="3"/>
  <c r="A67" i="3" l="1"/>
  <c r="K66" i="3"/>
  <c r="A68" i="3" l="1"/>
  <c r="K67" i="3"/>
  <c r="A69" i="3" l="1"/>
  <c r="K68" i="3"/>
  <c r="N68" i="3" s="1"/>
  <c r="A70" i="3" l="1"/>
  <c r="K69" i="3"/>
  <c r="N69" i="3" s="1"/>
  <c r="A71" i="3" l="1"/>
  <c r="K70" i="3"/>
  <c r="N70" i="3" s="1"/>
  <c r="A72" i="3" l="1"/>
  <c r="K71" i="3"/>
  <c r="N71" i="3" s="1"/>
  <c r="A73" i="3" l="1"/>
  <c r="K72" i="3"/>
  <c r="N72" i="3" s="1"/>
  <c r="A74" i="3" l="1"/>
  <c r="K73" i="3"/>
  <c r="N73" i="3" s="1"/>
  <c r="A75" i="3" l="1"/>
  <c r="K74" i="3"/>
  <c r="N74" i="3" s="1"/>
  <c r="A76" i="3" l="1"/>
  <c r="A77" i="3" s="1"/>
  <c r="K75" i="3"/>
  <c r="N75" i="3" s="1"/>
  <c r="A78" i="3" l="1"/>
  <c r="K77" i="3"/>
  <c r="N77" i="3" s="1"/>
  <c r="A79" i="3" l="1"/>
  <c r="K78" i="3"/>
  <c r="N78" i="3" s="1"/>
</calcChain>
</file>

<file path=xl/sharedStrings.xml><?xml version="1.0" encoding="utf-8"?>
<sst xmlns="http://schemas.openxmlformats.org/spreadsheetml/2006/main" count="554" uniqueCount="149">
  <si>
    <t>log:C:/git/luxai/light/main</t>
  </si>
  <si>
    <t>py</t>
  </si>
  <si>
    <t>win</t>
  </si>
  <si>
    <t>light</t>
  </si>
  <si>
    <t>rule416</t>
  </si>
  <si>
    <t>rule419</t>
  </si>
  <si>
    <t>rule420</t>
  </si>
  <si>
    <t>rule421</t>
  </si>
  <si>
    <t>rule422</t>
  </si>
  <si>
    <t>rule422b</t>
  </si>
  <si>
    <t>rule423</t>
  </si>
  <si>
    <t>rule424</t>
  </si>
  <si>
    <t>rule425</t>
  </si>
  <si>
    <t>rule426</t>
  </si>
  <si>
    <t>rule427</t>
  </si>
  <si>
    <t>rule428</t>
  </si>
  <si>
    <t>rule429</t>
  </si>
  <si>
    <t>rule430</t>
  </si>
  <si>
    <t>rule430b</t>
  </si>
  <si>
    <t>rule430c</t>
  </si>
  <si>
    <t>rule431</t>
  </si>
  <si>
    <t>rule432</t>
  </si>
  <si>
    <t>rule433</t>
  </si>
  <si>
    <t>rule433b</t>
  </si>
  <si>
    <t>rule433c</t>
  </si>
  <si>
    <t>rule433d</t>
  </si>
  <si>
    <t>rule433r</t>
  </si>
  <si>
    <t>rule434</t>
  </si>
  <si>
    <t>rule435</t>
  </si>
  <si>
    <t>rule435r</t>
  </si>
  <si>
    <t>rule436</t>
  </si>
  <si>
    <t>imitate</t>
  </si>
  <si>
    <t>rule305</t>
  </si>
  <si>
    <t>log:imitate</t>
  </si>
  <si>
    <t>rule305b</t>
  </si>
  <si>
    <t>rule305c</t>
  </si>
  <si>
    <t>rule306</t>
  </si>
  <si>
    <t>rule307</t>
  </si>
  <si>
    <t>rule308</t>
  </si>
  <si>
    <t>rule401</t>
  </si>
  <si>
    <t>rule405</t>
  </si>
  <si>
    <t>rule405c3</t>
  </si>
  <si>
    <t>rule405c4</t>
  </si>
  <si>
    <t>rule405c6</t>
  </si>
  <si>
    <t>rule411</t>
  </si>
  <si>
    <t>rule412</t>
  </si>
  <si>
    <t>rule413</t>
  </si>
  <si>
    <t>rule414</t>
  </si>
  <si>
    <t>rule415</t>
  </si>
  <si>
    <t>rule417</t>
  </si>
  <si>
    <t>rule418</t>
  </si>
  <si>
    <t>fileName</t>
  </si>
  <si>
    <t>date</t>
  </si>
  <si>
    <t>description</t>
  </si>
  <si>
    <t>status</t>
  </si>
  <si>
    <t>publicScore</t>
  </si>
  <si>
    <t>privateScore</t>
  </si>
  <si>
    <t>None</t>
  </si>
  <si>
    <t>complete</t>
  </si>
  <si>
    <t>rule403</t>
  </si>
  <si>
    <t>rule437</t>
  </si>
  <si>
    <t>rule438</t>
  </si>
  <si>
    <t>rule439</t>
  </si>
  <si>
    <t>rule440</t>
  </si>
  <si>
    <t>rule440b</t>
  </si>
  <si>
    <t>447c</t>
  </si>
  <si>
    <t>451b</t>
  </si>
  <si>
    <t>imit2</t>
  </si>
  <si>
    <t>SUM</t>
  </si>
  <si>
    <t>465b</t>
  </si>
  <si>
    <t>imit3</t>
  </si>
  <si>
    <t>466b</t>
  </si>
  <si>
    <t>467b</t>
  </si>
  <si>
    <t>488d</t>
  </si>
  <si>
    <t>488b</t>
  </si>
  <si>
    <t>488c</t>
  </si>
  <si>
    <t>488bc</t>
  </si>
  <si>
    <t>502b</t>
  </si>
  <si>
    <t>502c</t>
  </si>
  <si>
    <t>502x</t>
  </si>
  <si>
    <t>504b</t>
  </si>
  <si>
    <t>510b</t>
  </si>
  <si>
    <t>kaggle competitions submissions -v -c lux-ai-2021 | grep -v error | clip</t>
  </si>
  <si>
    <t>510c</t>
  </si>
  <si>
    <t>s.rule510c.tar.gz</t>
  </si>
  <si>
    <t>s.rule509.tar.gz</t>
  </si>
  <si>
    <t>s.rule511.tar.gz</t>
  </si>
  <si>
    <t>s.rule513.tar.gz</t>
  </si>
  <si>
    <t>Test</t>
  </si>
  <si>
    <t>s.rule514.tar.gz</t>
  </si>
  <si>
    <t>s.rule514b.tar.gz</t>
  </si>
  <si>
    <t>514b</t>
  </si>
  <si>
    <t>imit4</t>
  </si>
  <si>
    <t>SUM2</t>
  </si>
  <si>
    <t>s.rule512.tar.gz</t>
  </si>
  <si>
    <t>m1</t>
  </si>
  <si>
    <t>m2</t>
  </si>
  <si>
    <t>m3</t>
  </si>
  <si>
    <t>m4</t>
  </si>
  <si>
    <t>m0</t>
  </si>
  <si>
    <t>rulem0.tar.gz</t>
  </si>
  <si>
    <t>s.rule518.tar.gz</t>
  </si>
  <si>
    <t>s.rule517.tar.gz</t>
  </si>
  <si>
    <t>s.rulem4.tar.gz</t>
  </si>
  <si>
    <t/>
  </si>
  <si>
    <t>m5</t>
  </si>
  <si>
    <t>s.rule519.tar.gz</t>
  </si>
  <si>
    <t>s.rulem5.tar.gz</t>
  </si>
  <si>
    <t>511m</t>
  </si>
  <si>
    <t>s.rule511m.tar.gz</t>
  </si>
  <si>
    <t>m6</t>
  </si>
  <si>
    <t>s.rule520.tar.gz</t>
  </si>
  <si>
    <t>s.rule521.tar.gz</t>
  </si>
  <si>
    <t>s.rulem6.tar.gz</t>
  </si>
  <si>
    <t>519q</t>
  </si>
  <si>
    <t>521q</t>
  </si>
  <si>
    <t>s.rule521q.tar.gz</t>
  </si>
  <si>
    <t>s.rule519q.tar.gz</t>
  </si>
  <si>
    <t>511q</t>
  </si>
  <si>
    <t>s.rule511q.tar.gz</t>
  </si>
  <si>
    <t>s.rule520q.tar.gz</t>
  </si>
  <si>
    <t>520q</t>
  </si>
  <si>
    <t>s.rule522.tar.gz</t>
  </si>
  <si>
    <t>s.rule523.tar.gz</t>
  </si>
  <si>
    <t>s.rule524.tar.gz</t>
  </si>
  <si>
    <t>max</t>
  </si>
  <si>
    <t>avg</t>
  </si>
  <si>
    <t>diff</t>
  </si>
  <si>
    <t>subMax</t>
  </si>
  <si>
    <t>A146</t>
  </si>
  <si>
    <t>.tar.gz)</t>
  </si>
  <si>
    <t>Sheet1!$E$1:$E$100)</t>
  </si>
  <si>
    <t>fixed</t>
  </si>
  <si>
    <t>s.rule524c.tar.gz</t>
  </si>
  <si>
    <t>s.rule524b.tar.gz</t>
  </si>
  <si>
    <t>524b</t>
  </si>
  <si>
    <t>524c</t>
  </si>
  <si>
    <t>#</t>
  </si>
  <si>
    <t>s.rule524d.tar.gz</t>
  </si>
  <si>
    <t>524d</t>
  </si>
  <si>
    <t>621q</t>
  </si>
  <si>
    <t>721q</t>
  </si>
  <si>
    <t>s.rule721q.tar.gz</t>
  </si>
  <si>
    <t>s.rule621q.tar.gz</t>
  </si>
  <si>
    <t>s.rule624.tar.gz</t>
  </si>
  <si>
    <t>624x</t>
  </si>
  <si>
    <t>620q</t>
  </si>
  <si>
    <t>s.rule620q.tar.gz</t>
  </si>
  <si>
    <t>s.rule624x.tar.gz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</si>
</sst>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_ ;[Red]\-0.00\ 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9" fontId="0" fillId="0" borderId="0" xfId="1" applyFont="1"/>
    <xf numFmtId="0" fontId="0" fillId="0" borderId="0" xfId="0"/>
    <xf numFmtId="1" fontId="0" fillId="0" borderId="0" xfId="0" applyNumberFormat="1"/>
    <xf numFmtId="0" fontId="0" fillId="0" borderId="0" xfId="0" applyAlignment="1">
      <alignment horizontal="left" indent="1"/>
    </xf>
    <xf numFmtId="22" fontId="0" fillId="0" borderId="0" xfId="0" applyNumberFormat="1"/>
    <xf numFmtId="2" fontId="0" fillId="0" borderId="0" xfId="0" applyNumberFormat="1"/>
    <xf numFmtId="164" fontId="0" fillId="0" borderId="0" xfId="1" applyNumberFormat="1" applyFont="1"/>
    <xf numFmtId="0" fontId="0" fillId="33" borderId="0" xfId="0" applyFill="1" applyAlignment="1">
      <alignment horizontal="left" indent="1"/>
    </xf>
    <xf numFmtId="0" fontId="0" fillId="34" borderId="0" xfId="0" applyFill="1" applyAlignment="1">
      <alignment horizontal="left" indent="1"/>
    </xf>
    <xf numFmtId="0" fontId="0" fillId="0" borderId="0" xfId="0" applyFont="1"/>
    <xf numFmtId="0" fontId="0" fillId="35" borderId="0" xfId="0" applyFill="1" applyAlignment="1">
      <alignment horizontal="left" indent="1"/>
    </xf>
    <xf numFmtId="0" fontId="18" fillId="36" borderId="0" xfId="0" applyFont="1" applyFill="1" applyAlignment="1">
      <alignment horizontal="left" indent="1"/>
    </xf>
    <xf numFmtId="165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33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summary!$J$1</c:f>
              <c:strCache>
                <c:ptCount val="1"/>
                <c:pt idx="0">
                  <c:v>subMax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rgbClr val="0070C0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yVal>
            <c:numRef>
              <c:f>summary!$J$2:$J$150</c:f>
              <c:numCache>
                <c:formatCode>0</c:formatCode>
                <c:ptCount val="148"/>
                <c:pt idx="1">
                  <c:v>1369.3</c:v>
                </c:pt>
                <c:pt idx="6">
                  <c:v>1319.9</c:v>
                </c:pt>
                <c:pt idx="7">
                  <c:v>1338</c:v>
                </c:pt>
                <c:pt idx="9">
                  <c:v>1334.9</c:v>
                </c:pt>
                <c:pt idx="10">
                  <c:v>1341.9</c:v>
                </c:pt>
                <c:pt idx="12">
                  <c:v>1343.4</c:v>
                </c:pt>
                <c:pt idx="14">
                  <c:v>1328.4</c:v>
                </c:pt>
                <c:pt idx="15">
                  <c:v>1293.3</c:v>
                </c:pt>
                <c:pt idx="16">
                  <c:v>1328.2</c:v>
                </c:pt>
                <c:pt idx="17">
                  <c:v>1329.7</c:v>
                </c:pt>
                <c:pt idx="18">
                  <c:v>1303.7</c:v>
                </c:pt>
                <c:pt idx="19">
                  <c:v>1337.6</c:v>
                </c:pt>
                <c:pt idx="20">
                  <c:v>1334.4</c:v>
                </c:pt>
                <c:pt idx="23">
                  <c:v>1324</c:v>
                </c:pt>
                <c:pt idx="24">
                  <c:v>1334</c:v>
                </c:pt>
                <c:pt idx="32">
                  <c:v>1404</c:v>
                </c:pt>
                <c:pt idx="33">
                  <c:v>1308</c:v>
                </c:pt>
                <c:pt idx="34">
                  <c:v>1366</c:v>
                </c:pt>
                <c:pt idx="35">
                  <c:v>1391</c:v>
                </c:pt>
                <c:pt idx="37">
                  <c:v>1368</c:v>
                </c:pt>
                <c:pt idx="42">
                  <c:v>1394</c:v>
                </c:pt>
                <c:pt idx="45">
                  <c:v>1402</c:v>
                </c:pt>
                <c:pt idx="46">
                  <c:v>1395</c:v>
                </c:pt>
                <c:pt idx="47">
                  <c:v>1361</c:v>
                </c:pt>
                <c:pt idx="52">
                  <c:v>1371</c:v>
                </c:pt>
                <c:pt idx="53">
                  <c:v>1363</c:v>
                </c:pt>
                <c:pt idx="54">
                  <c:v>1410</c:v>
                </c:pt>
                <c:pt idx="55">
                  <c:v>1425</c:v>
                </c:pt>
                <c:pt idx="56">
                  <c:v>1386</c:v>
                </c:pt>
                <c:pt idx="60">
                  <c:v>1387</c:v>
                </c:pt>
                <c:pt idx="61">
                  <c:v>1348</c:v>
                </c:pt>
                <c:pt idx="62">
                  <c:v>1380</c:v>
                </c:pt>
                <c:pt idx="63">
                  <c:v>1392</c:v>
                </c:pt>
                <c:pt idx="64">
                  <c:v>1394</c:v>
                </c:pt>
                <c:pt idx="65">
                  <c:v>1386.5</c:v>
                </c:pt>
                <c:pt idx="66">
                  <c:v>1342.6</c:v>
                </c:pt>
                <c:pt idx="67">
                  <c:v>1381.5</c:v>
                </c:pt>
                <c:pt idx="68">
                  <c:v>1430</c:v>
                </c:pt>
                <c:pt idx="69">
                  <c:v>1423</c:v>
                </c:pt>
                <c:pt idx="70">
                  <c:v>1403</c:v>
                </c:pt>
                <c:pt idx="71">
                  <c:v>1376</c:v>
                </c:pt>
                <c:pt idx="72">
                  <c:v>1389.9</c:v>
                </c:pt>
                <c:pt idx="74">
                  <c:v>1390.1</c:v>
                </c:pt>
                <c:pt idx="75">
                  <c:v>1393.6</c:v>
                </c:pt>
                <c:pt idx="78">
                  <c:v>1377.2</c:v>
                </c:pt>
                <c:pt idx="79">
                  <c:v>1380.4</c:v>
                </c:pt>
                <c:pt idx="80">
                  <c:v>1367.4</c:v>
                </c:pt>
                <c:pt idx="82">
                  <c:v>1354.5</c:v>
                </c:pt>
                <c:pt idx="84">
                  <c:v>1393.2</c:v>
                </c:pt>
                <c:pt idx="85">
                  <c:v>1381.1</c:v>
                </c:pt>
                <c:pt idx="86">
                  <c:v>1408.5</c:v>
                </c:pt>
                <c:pt idx="87">
                  <c:v>1443.2</c:v>
                </c:pt>
                <c:pt idx="88">
                  <c:v>1356.2</c:v>
                </c:pt>
                <c:pt idx="89">
                  <c:v>1409.2</c:v>
                </c:pt>
                <c:pt idx="91">
                  <c:v>1394.7</c:v>
                </c:pt>
                <c:pt idx="92">
                  <c:v>1402.6</c:v>
                </c:pt>
                <c:pt idx="93">
                  <c:v>1406.1</c:v>
                </c:pt>
                <c:pt idx="94">
                  <c:v>1387.1</c:v>
                </c:pt>
                <c:pt idx="96">
                  <c:v>1362.5</c:v>
                </c:pt>
                <c:pt idx="97">
                  <c:v>1429.3</c:v>
                </c:pt>
                <c:pt idx="98">
                  <c:v>1466</c:v>
                </c:pt>
                <c:pt idx="107">
                  <c:v>1373.6</c:v>
                </c:pt>
                <c:pt idx="108">
                  <c:v>1359.7</c:v>
                </c:pt>
                <c:pt idx="109">
                  <c:v>1410.5</c:v>
                </c:pt>
                <c:pt idx="110">
                  <c:v>1411.2</c:v>
                </c:pt>
                <c:pt idx="111">
                  <c:v>1412</c:v>
                </c:pt>
                <c:pt idx="112">
                  <c:v>1435.6</c:v>
                </c:pt>
                <c:pt idx="114">
                  <c:v>1408.4</c:v>
                </c:pt>
                <c:pt idx="116">
                  <c:v>1395.5</c:v>
                </c:pt>
                <c:pt idx="117">
                  <c:v>1384.4</c:v>
                </c:pt>
                <c:pt idx="119">
                  <c:v>1420.6</c:v>
                </c:pt>
                <c:pt idx="121">
                  <c:v>1438.5</c:v>
                </c:pt>
                <c:pt idx="127">
                  <c:v>1413.5</c:v>
                </c:pt>
                <c:pt idx="128">
                  <c:v>1461.1</c:v>
                </c:pt>
                <c:pt idx="129">
                  <c:v>1432</c:v>
                </c:pt>
                <c:pt idx="131">
                  <c:v>1431.2</c:v>
                </c:pt>
                <c:pt idx="133">
                  <c:v>1440</c:v>
                </c:pt>
                <c:pt idx="134">
                  <c:v>1444</c:v>
                </c:pt>
                <c:pt idx="135">
                  <c:v>1413.2</c:v>
                </c:pt>
                <c:pt idx="136">
                  <c:v>1510.8</c:v>
                </c:pt>
                <c:pt idx="137">
                  <c:v>1492.7</c:v>
                </c:pt>
                <c:pt idx="138">
                  <c:v>1429.8</c:v>
                </c:pt>
                <c:pt idx="139">
                  <c:v>1423.9</c:v>
                </c:pt>
                <c:pt idx="140">
                  <c:v>1427.5</c:v>
                </c:pt>
                <c:pt idx="141">
                  <c:v>1408.4</c:v>
                </c:pt>
                <c:pt idx="143">
                  <c:v>1505.1</c:v>
                </c:pt>
                <c:pt idx="144">
                  <c:v>1537.4</c:v>
                </c:pt>
                <c:pt idx="145">
                  <c:v>1508</c:v>
                </c:pt>
                <c:pt idx="146">
                  <c:v>1538.9</c:v>
                </c:pt>
                <c:pt idx="147">
                  <c:v>1563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4A-461A-B9BB-D04465BE7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13456"/>
        <c:axId val="99003472"/>
      </c:scatte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tx1">
                    <a:lumMod val="75000"/>
                    <a:lumOff val="25000"/>
                  </a:schemeClr>
                </a:solidFill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marker>
          <c:trendline>
            <c:spPr>
              <a:ln w="19050" cap="rnd">
                <a:solidFill>
                  <a:schemeClr val="bg2">
                    <a:lumMod val="50000"/>
                  </a:schemeClr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yVal>
            <c:numRef>
              <c:f>summary!$I$2:$I$161</c:f>
              <c:numCache>
                <c:formatCode>General</c:formatCode>
                <c:ptCount val="159"/>
                <c:pt idx="60" formatCode="0.0%">
                  <c:v>0.69333333333333336</c:v>
                </c:pt>
                <c:pt idx="61" formatCode="0.0%">
                  <c:v>0.71</c:v>
                </c:pt>
                <c:pt idx="62" formatCode="0.0%">
                  <c:v>0.70499999999999996</c:v>
                </c:pt>
                <c:pt idx="64" formatCode="0.0%">
                  <c:v>0.72833333333333339</c:v>
                </c:pt>
                <c:pt idx="65" formatCode="0.0%">
                  <c:v>0.73</c:v>
                </c:pt>
                <c:pt idx="66" formatCode="0.0%">
                  <c:v>0.71666666666666667</c:v>
                </c:pt>
                <c:pt idx="67" formatCode="0.0%">
                  <c:v>0.71333333333333337</c:v>
                </c:pt>
                <c:pt idx="68" formatCode="0.0%">
                  <c:v>0.65</c:v>
                </c:pt>
                <c:pt idx="69" formatCode="0.0%">
                  <c:v>0.71166666666666667</c:v>
                </c:pt>
                <c:pt idx="70" formatCode="0.0%">
                  <c:v>0.72</c:v>
                </c:pt>
                <c:pt idx="71" formatCode="0.0%">
                  <c:v>0.73499999999999999</c:v>
                </c:pt>
                <c:pt idx="72" formatCode="0.0%">
                  <c:v>0.73499999999999999</c:v>
                </c:pt>
                <c:pt idx="74" formatCode="0.0%">
                  <c:v>0.73</c:v>
                </c:pt>
                <c:pt idx="75" formatCode="0.0%">
                  <c:v>0.70499999999999996</c:v>
                </c:pt>
                <c:pt idx="78" formatCode="0.0%">
                  <c:v>0.72166666666666668</c:v>
                </c:pt>
                <c:pt idx="79" formatCode="0.0%">
                  <c:v>0.73666666666666669</c:v>
                </c:pt>
                <c:pt idx="80" formatCode="0.0%">
                  <c:v>0.72</c:v>
                </c:pt>
                <c:pt idx="82" formatCode="0.0%">
                  <c:v>0.72666666666666668</c:v>
                </c:pt>
                <c:pt idx="84" formatCode="0.0%">
                  <c:v>0.73166666666666669</c:v>
                </c:pt>
                <c:pt idx="85" formatCode="0.0%">
                  <c:v>0.73499999999999999</c:v>
                </c:pt>
                <c:pt idx="86" formatCode="0.0%">
                  <c:v>0.72499999999999998</c:v>
                </c:pt>
                <c:pt idx="87" formatCode="0.0%">
                  <c:v>0.72666666666666668</c:v>
                </c:pt>
                <c:pt idx="88" formatCode="0.0%">
                  <c:v>0.73499999999999999</c:v>
                </c:pt>
                <c:pt idx="89" formatCode="0.0%">
                  <c:v>0.72833333333333339</c:v>
                </c:pt>
                <c:pt idx="91" formatCode="0.0%">
                  <c:v>0.71666666666666667</c:v>
                </c:pt>
                <c:pt idx="92" formatCode="0.0%">
                  <c:v>0.72499999999999998</c:v>
                </c:pt>
                <c:pt idx="93" formatCode="0.0%">
                  <c:v>0.72666666666666668</c:v>
                </c:pt>
                <c:pt idx="94" formatCode="0.0%">
                  <c:v>0.73166666666666669</c:v>
                </c:pt>
                <c:pt idx="96" formatCode="0.0%">
                  <c:v>0.72499999999999998</c:v>
                </c:pt>
                <c:pt idx="97" formatCode="0.0%">
                  <c:v>0.73333333333333328</c:v>
                </c:pt>
                <c:pt idx="98" formatCode="0.0%">
                  <c:v>0.75666666666666671</c:v>
                </c:pt>
                <c:pt idx="101" formatCode="0.0%">
                  <c:v>0.73333333333333328</c:v>
                </c:pt>
                <c:pt idx="102" formatCode="0.0%">
                  <c:v>0.745</c:v>
                </c:pt>
                <c:pt idx="105" formatCode="0.0%">
                  <c:v>0.73333333333333328</c:v>
                </c:pt>
                <c:pt idx="107" formatCode="0.0%">
                  <c:v>0.73333333333333328</c:v>
                </c:pt>
                <c:pt idx="108" formatCode="0.0%">
                  <c:v>0.73</c:v>
                </c:pt>
                <c:pt idx="109" formatCode="0.0%">
                  <c:v>0.78</c:v>
                </c:pt>
                <c:pt idx="110" formatCode="0.0%">
                  <c:v>0.76333333333333331</c:v>
                </c:pt>
                <c:pt idx="111" formatCode="0.0%">
                  <c:v>0.76</c:v>
                </c:pt>
                <c:pt idx="112" formatCode="0.0%">
                  <c:v>0.76166666666666671</c:v>
                </c:pt>
                <c:pt idx="114" formatCode="0.0%">
                  <c:v>0.78666666666666663</c:v>
                </c:pt>
                <c:pt idx="116" formatCode="0.0%">
                  <c:v>0.78500000000000003</c:v>
                </c:pt>
                <c:pt idx="117" formatCode="0.0%">
                  <c:v>0.78500000000000003</c:v>
                </c:pt>
                <c:pt idx="119" formatCode="0.0%">
                  <c:v>0.78666666666666663</c:v>
                </c:pt>
                <c:pt idx="121" formatCode="0.0%">
                  <c:v>0.77833333333333332</c:v>
                </c:pt>
                <c:pt idx="124" formatCode="0.0%">
                  <c:v>0.78</c:v>
                </c:pt>
                <c:pt idx="125" formatCode="0.0%">
                  <c:v>0.77166666666666661</c:v>
                </c:pt>
                <c:pt idx="126" formatCode="0.0%">
                  <c:v>0.77833333333333332</c:v>
                </c:pt>
                <c:pt idx="127" formatCode="0.0%">
                  <c:v>0.78500000000000003</c:v>
                </c:pt>
                <c:pt idx="128" formatCode="0.0%">
                  <c:v>0.79166666666666663</c:v>
                </c:pt>
                <c:pt idx="129" formatCode="0.0%">
                  <c:v>0.77666666666666662</c:v>
                </c:pt>
                <c:pt idx="130" formatCode="0.0%">
                  <c:v>0.76833333333333331</c:v>
                </c:pt>
                <c:pt idx="131" formatCode="0.0%">
                  <c:v>0.79166666666666663</c:v>
                </c:pt>
                <c:pt idx="132" formatCode="0.0%">
                  <c:v>0.77166666666666661</c:v>
                </c:pt>
                <c:pt idx="133" formatCode="0.0%">
                  <c:v>0.79833333333333334</c:v>
                </c:pt>
                <c:pt idx="134" formatCode="0.0%">
                  <c:v>0.8</c:v>
                </c:pt>
                <c:pt idx="135" formatCode="0.0%">
                  <c:v>0.79666666666666663</c:v>
                </c:pt>
                <c:pt idx="136" formatCode="0.0%">
                  <c:v>0.8666666666666667</c:v>
                </c:pt>
                <c:pt idx="137" formatCode="0.0%">
                  <c:v>0.85499999999999998</c:v>
                </c:pt>
                <c:pt idx="138" formatCode="0.0%">
                  <c:v>0.80500000000000005</c:v>
                </c:pt>
                <c:pt idx="139" formatCode="0.0%">
                  <c:v>0.80333333333333334</c:v>
                </c:pt>
                <c:pt idx="140" formatCode="0.0%">
                  <c:v>0.82333333333333336</c:v>
                </c:pt>
                <c:pt idx="141" formatCode="0.0%">
                  <c:v>0.83333333333333337</c:v>
                </c:pt>
                <c:pt idx="142" formatCode="0.0%">
                  <c:v>0.86333333333333329</c:v>
                </c:pt>
                <c:pt idx="143" formatCode="0.0%">
                  <c:v>0.85333333333333339</c:v>
                </c:pt>
                <c:pt idx="144" formatCode="0.0%">
                  <c:v>0.87333333333333329</c:v>
                </c:pt>
                <c:pt idx="145" formatCode="0.0%">
                  <c:v>0.88500000000000001</c:v>
                </c:pt>
                <c:pt idx="146" formatCode="0.0%">
                  <c:v>0.88500000000000001</c:v>
                </c:pt>
                <c:pt idx="147" formatCode="0.0%">
                  <c:v>0.8783333333333333</c:v>
                </c:pt>
                <c:pt idx="148" formatCode="0.0%">
                  <c:v>0.87666666666666671</c:v>
                </c:pt>
                <c:pt idx="149" formatCode="0.0%">
                  <c:v>0.88166666666666671</c:v>
                </c:pt>
                <c:pt idx="150" formatCode="0.0%">
                  <c:v>0.88</c:v>
                </c:pt>
                <c:pt idx="151" formatCode="0.0%">
                  <c:v>0.8833333333333333</c:v>
                </c:pt>
                <c:pt idx="152" formatCode="0.0%">
                  <c:v>0.89833333333333332</c:v>
                </c:pt>
                <c:pt idx="153" formatCode="0.0%">
                  <c:v>0.8783333333333333</c:v>
                </c:pt>
                <c:pt idx="154" formatCode="0.0%">
                  <c:v>0.88166666666666671</c:v>
                </c:pt>
                <c:pt idx="155" formatCode="0.0%">
                  <c:v>0.8833333333333333</c:v>
                </c:pt>
                <c:pt idx="156" formatCode="0.0%">
                  <c:v>0.9</c:v>
                </c:pt>
                <c:pt idx="157" formatCode="0.0%">
                  <c:v>0.89666666666666661</c:v>
                </c:pt>
                <c:pt idx="158" formatCode="0.0%">
                  <c:v>0.88833333333333331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4A-461A-B9BB-D04465BE7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07872"/>
        <c:axId val="74616192"/>
      </c:scatterChart>
      <c:valAx>
        <c:axId val="9901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03472"/>
        <c:crosses val="autoZero"/>
        <c:crossBetween val="midCat"/>
      </c:valAx>
      <c:valAx>
        <c:axId val="99003472"/>
        <c:scaling>
          <c:orientation val="minMax"/>
          <c:max val="1600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3456"/>
        <c:crosses val="autoZero"/>
        <c:crossBetween val="midCat"/>
      </c:valAx>
      <c:valAx>
        <c:axId val="74616192"/>
        <c:scaling>
          <c:orientation val="minMax"/>
          <c:max val="1.2"/>
          <c:min val="0.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accent3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07872"/>
        <c:crosses val="max"/>
        <c:crossBetween val="midCat"/>
      </c:valAx>
      <c:valAx>
        <c:axId val="74607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61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score vs %win imitate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summary!$J$1</c:f>
              <c:strCache>
                <c:ptCount val="1"/>
                <c:pt idx="0">
                  <c:v>subMax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summary!$I$2:$I$164</c:f>
              <c:numCache>
                <c:formatCode>General</c:formatCode>
                <c:ptCount val="162"/>
                <c:pt idx="60" formatCode="0.0%">
                  <c:v>0.69333333333333336</c:v>
                </c:pt>
                <c:pt idx="61" formatCode="0.0%">
                  <c:v>0.71</c:v>
                </c:pt>
                <c:pt idx="62" formatCode="0.0%">
                  <c:v>0.70499999999999996</c:v>
                </c:pt>
                <c:pt idx="64" formatCode="0.0%">
                  <c:v>0.72833333333333339</c:v>
                </c:pt>
                <c:pt idx="65" formatCode="0.0%">
                  <c:v>0.73</c:v>
                </c:pt>
                <c:pt idx="66" formatCode="0.0%">
                  <c:v>0.71666666666666667</c:v>
                </c:pt>
                <c:pt idx="67" formatCode="0.0%">
                  <c:v>0.71333333333333337</c:v>
                </c:pt>
                <c:pt idx="68" formatCode="0.0%">
                  <c:v>0.65</c:v>
                </c:pt>
                <c:pt idx="69" formatCode="0.0%">
                  <c:v>0.71166666666666667</c:v>
                </c:pt>
                <c:pt idx="70" formatCode="0.0%">
                  <c:v>0.72</c:v>
                </c:pt>
                <c:pt idx="71" formatCode="0.0%">
                  <c:v>0.73499999999999999</c:v>
                </c:pt>
                <c:pt idx="72" formatCode="0.0%">
                  <c:v>0.73499999999999999</c:v>
                </c:pt>
                <c:pt idx="74" formatCode="0.0%">
                  <c:v>0.73</c:v>
                </c:pt>
                <c:pt idx="75" formatCode="0.0%">
                  <c:v>0.70499999999999996</c:v>
                </c:pt>
                <c:pt idx="78" formatCode="0.0%">
                  <c:v>0.72166666666666668</c:v>
                </c:pt>
                <c:pt idx="79" formatCode="0.0%">
                  <c:v>0.73666666666666669</c:v>
                </c:pt>
                <c:pt idx="80" formatCode="0.0%">
                  <c:v>0.72</c:v>
                </c:pt>
                <c:pt idx="82" formatCode="0.0%">
                  <c:v>0.72666666666666668</c:v>
                </c:pt>
                <c:pt idx="84" formatCode="0.0%">
                  <c:v>0.73166666666666669</c:v>
                </c:pt>
                <c:pt idx="85" formatCode="0.0%">
                  <c:v>0.73499999999999999</c:v>
                </c:pt>
                <c:pt idx="86" formatCode="0.0%">
                  <c:v>0.72499999999999998</c:v>
                </c:pt>
                <c:pt idx="87" formatCode="0.0%">
                  <c:v>0.72666666666666668</c:v>
                </c:pt>
                <c:pt idx="88" formatCode="0.0%">
                  <c:v>0.73499999999999999</c:v>
                </c:pt>
                <c:pt idx="89" formatCode="0.0%">
                  <c:v>0.72833333333333339</c:v>
                </c:pt>
                <c:pt idx="91" formatCode="0.0%">
                  <c:v>0.71666666666666667</c:v>
                </c:pt>
                <c:pt idx="92" formatCode="0.0%">
                  <c:v>0.72499999999999998</c:v>
                </c:pt>
                <c:pt idx="93" formatCode="0.0%">
                  <c:v>0.72666666666666668</c:v>
                </c:pt>
                <c:pt idx="94" formatCode="0.0%">
                  <c:v>0.73166666666666669</c:v>
                </c:pt>
                <c:pt idx="96" formatCode="0.0%">
                  <c:v>0.72499999999999998</c:v>
                </c:pt>
                <c:pt idx="97" formatCode="0.0%">
                  <c:v>0.73333333333333328</c:v>
                </c:pt>
                <c:pt idx="98" formatCode="0.0%">
                  <c:v>0.75666666666666671</c:v>
                </c:pt>
                <c:pt idx="101" formatCode="0.0%">
                  <c:v>0.73333333333333328</c:v>
                </c:pt>
                <c:pt idx="102" formatCode="0.0%">
                  <c:v>0.745</c:v>
                </c:pt>
                <c:pt idx="105" formatCode="0.0%">
                  <c:v>0.73333333333333328</c:v>
                </c:pt>
                <c:pt idx="107" formatCode="0.0%">
                  <c:v>0.73333333333333328</c:v>
                </c:pt>
                <c:pt idx="108" formatCode="0.0%">
                  <c:v>0.73</c:v>
                </c:pt>
                <c:pt idx="109" formatCode="0.0%">
                  <c:v>0.78</c:v>
                </c:pt>
                <c:pt idx="110" formatCode="0.0%">
                  <c:v>0.76333333333333331</c:v>
                </c:pt>
                <c:pt idx="111" formatCode="0.0%">
                  <c:v>0.76</c:v>
                </c:pt>
                <c:pt idx="112" formatCode="0.0%">
                  <c:v>0.76166666666666671</c:v>
                </c:pt>
                <c:pt idx="114" formatCode="0.0%">
                  <c:v>0.78666666666666663</c:v>
                </c:pt>
                <c:pt idx="116" formatCode="0.0%">
                  <c:v>0.78500000000000003</c:v>
                </c:pt>
                <c:pt idx="117" formatCode="0.0%">
                  <c:v>0.78500000000000003</c:v>
                </c:pt>
                <c:pt idx="119" formatCode="0.0%">
                  <c:v>0.78666666666666663</c:v>
                </c:pt>
                <c:pt idx="121" formatCode="0.0%">
                  <c:v>0.77833333333333332</c:v>
                </c:pt>
                <c:pt idx="124" formatCode="0.0%">
                  <c:v>0.78</c:v>
                </c:pt>
                <c:pt idx="125" formatCode="0.0%">
                  <c:v>0.77166666666666661</c:v>
                </c:pt>
                <c:pt idx="126" formatCode="0.0%">
                  <c:v>0.77833333333333332</c:v>
                </c:pt>
                <c:pt idx="127" formatCode="0.0%">
                  <c:v>0.78500000000000003</c:v>
                </c:pt>
                <c:pt idx="128" formatCode="0.0%">
                  <c:v>0.79166666666666663</c:v>
                </c:pt>
                <c:pt idx="129" formatCode="0.0%">
                  <c:v>0.77666666666666662</c:v>
                </c:pt>
                <c:pt idx="130" formatCode="0.0%">
                  <c:v>0.76833333333333331</c:v>
                </c:pt>
                <c:pt idx="131" formatCode="0.0%">
                  <c:v>0.79166666666666663</c:v>
                </c:pt>
                <c:pt idx="132" formatCode="0.0%">
                  <c:v>0.77166666666666661</c:v>
                </c:pt>
                <c:pt idx="133" formatCode="0.0%">
                  <c:v>0.79833333333333334</c:v>
                </c:pt>
                <c:pt idx="134" formatCode="0.0%">
                  <c:v>0.8</c:v>
                </c:pt>
                <c:pt idx="135" formatCode="0.0%">
                  <c:v>0.79666666666666663</c:v>
                </c:pt>
                <c:pt idx="136" formatCode="0.0%">
                  <c:v>0.8666666666666667</c:v>
                </c:pt>
                <c:pt idx="137" formatCode="0.0%">
                  <c:v>0.85499999999999998</c:v>
                </c:pt>
                <c:pt idx="138" formatCode="0.0%">
                  <c:v>0.80500000000000005</c:v>
                </c:pt>
                <c:pt idx="139" formatCode="0.0%">
                  <c:v>0.80333333333333334</c:v>
                </c:pt>
                <c:pt idx="140" formatCode="0.0%">
                  <c:v>0.82333333333333336</c:v>
                </c:pt>
                <c:pt idx="141" formatCode="0.0%">
                  <c:v>0.83333333333333337</c:v>
                </c:pt>
                <c:pt idx="142" formatCode="0.0%">
                  <c:v>0.86333333333333329</c:v>
                </c:pt>
                <c:pt idx="143" formatCode="0.0%">
                  <c:v>0.85333333333333339</c:v>
                </c:pt>
                <c:pt idx="144" formatCode="0.0%">
                  <c:v>0.87333333333333329</c:v>
                </c:pt>
                <c:pt idx="145" formatCode="0.0%">
                  <c:v>0.88500000000000001</c:v>
                </c:pt>
                <c:pt idx="146" formatCode="0.0%">
                  <c:v>0.88500000000000001</c:v>
                </c:pt>
                <c:pt idx="147" formatCode="0.0%">
                  <c:v>0.8783333333333333</c:v>
                </c:pt>
                <c:pt idx="148" formatCode="0.0%">
                  <c:v>0.87666666666666671</c:v>
                </c:pt>
                <c:pt idx="149" formatCode="0.0%">
                  <c:v>0.88166666666666671</c:v>
                </c:pt>
                <c:pt idx="150" formatCode="0.0%">
                  <c:v>0.88</c:v>
                </c:pt>
                <c:pt idx="151" formatCode="0.0%">
                  <c:v>0.8833333333333333</c:v>
                </c:pt>
                <c:pt idx="152" formatCode="0.0%">
                  <c:v>0.89833333333333332</c:v>
                </c:pt>
                <c:pt idx="153" formatCode="0.0%">
                  <c:v>0.8783333333333333</c:v>
                </c:pt>
                <c:pt idx="154" formatCode="0.0%">
                  <c:v>0.88166666666666671</c:v>
                </c:pt>
                <c:pt idx="155" formatCode="0.0%">
                  <c:v>0.8833333333333333</c:v>
                </c:pt>
                <c:pt idx="156" formatCode="0.0%">
                  <c:v>0.9</c:v>
                </c:pt>
                <c:pt idx="157" formatCode="0.0%">
                  <c:v>0.89666666666666661</c:v>
                </c:pt>
                <c:pt idx="158" formatCode="0.0%">
                  <c:v>0.88833333333333331</c:v>
                </c:pt>
                <c:pt idx="159" formatCode="0.0%">
                  <c:v>0.89666666666666661</c:v>
                </c:pt>
                <c:pt idx="160" formatCode="0.0%">
                  <c:v>0.8833333333333333</c:v>
                </c:pt>
                <c:pt idx="161" formatCode="0.0%">
                  <c:v>0.88166666666666671</c:v>
                </c:pt>
              </c:numCache>
            </c:numRef>
          </c:xVal>
          <c:yVal>
            <c:numRef>
              <c:f>summary!$J$2:$J$164</c:f>
              <c:numCache>
                <c:formatCode>0</c:formatCode>
                <c:ptCount val="162"/>
                <c:pt idx="1">
                  <c:v>1369.3</c:v>
                </c:pt>
                <c:pt idx="6">
                  <c:v>1319.9</c:v>
                </c:pt>
                <c:pt idx="7">
                  <c:v>1338</c:v>
                </c:pt>
                <c:pt idx="9">
                  <c:v>1334.9</c:v>
                </c:pt>
                <c:pt idx="10">
                  <c:v>1341.9</c:v>
                </c:pt>
                <c:pt idx="12">
                  <c:v>1343.4</c:v>
                </c:pt>
                <c:pt idx="14">
                  <c:v>1328.4</c:v>
                </c:pt>
                <c:pt idx="15">
                  <c:v>1293.3</c:v>
                </c:pt>
                <c:pt idx="16">
                  <c:v>1328.2</c:v>
                </c:pt>
                <c:pt idx="17">
                  <c:v>1329.7</c:v>
                </c:pt>
                <c:pt idx="18">
                  <c:v>1303.7</c:v>
                </c:pt>
                <c:pt idx="19">
                  <c:v>1337.6</c:v>
                </c:pt>
                <c:pt idx="20">
                  <c:v>1334.4</c:v>
                </c:pt>
                <c:pt idx="23">
                  <c:v>1324</c:v>
                </c:pt>
                <c:pt idx="24">
                  <c:v>1334</c:v>
                </c:pt>
                <c:pt idx="32">
                  <c:v>1404</c:v>
                </c:pt>
                <c:pt idx="33">
                  <c:v>1308</c:v>
                </c:pt>
                <c:pt idx="34">
                  <c:v>1366</c:v>
                </c:pt>
                <c:pt idx="35">
                  <c:v>1391</c:v>
                </c:pt>
                <c:pt idx="37">
                  <c:v>1368</c:v>
                </c:pt>
                <c:pt idx="42">
                  <c:v>1394</c:v>
                </c:pt>
                <c:pt idx="45">
                  <c:v>1402</c:v>
                </c:pt>
                <c:pt idx="46">
                  <c:v>1395</c:v>
                </c:pt>
                <c:pt idx="47">
                  <c:v>1361</c:v>
                </c:pt>
                <c:pt idx="52">
                  <c:v>1371</c:v>
                </c:pt>
                <c:pt idx="53">
                  <c:v>1363</c:v>
                </c:pt>
                <c:pt idx="54">
                  <c:v>1410</c:v>
                </c:pt>
                <c:pt idx="55">
                  <c:v>1425</c:v>
                </c:pt>
                <c:pt idx="56">
                  <c:v>1386</c:v>
                </c:pt>
                <c:pt idx="60">
                  <c:v>1387</c:v>
                </c:pt>
                <c:pt idx="61">
                  <c:v>1348</c:v>
                </c:pt>
                <c:pt idx="62">
                  <c:v>1380</c:v>
                </c:pt>
                <c:pt idx="63">
                  <c:v>1392</c:v>
                </c:pt>
                <c:pt idx="64">
                  <c:v>1394</c:v>
                </c:pt>
                <c:pt idx="65">
                  <c:v>1386.5</c:v>
                </c:pt>
                <c:pt idx="66">
                  <c:v>1342.6</c:v>
                </c:pt>
                <c:pt idx="67">
                  <c:v>1381.5</c:v>
                </c:pt>
                <c:pt idx="68">
                  <c:v>1430</c:v>
                </c:pt>
                <c:pt idx="69">
                  <c:v>1423</c:v>
                </c:pt>
                <c:pt idx="70">
                  <c:v>1403</c:v>
                </c:pt>
                <c:pt idx="71">
                  <c:v>1376</c:v>
                </c:pt>
                <c:pt idx="72">
                  <c:v>1389.9</c:v>
                </c:pt>
                <c:pt idx="74">
                  <c:v>1390.1</c:v>
                </c:pt>
                <c:pt idx="75">
                  <c:v>1393.6</c:v>
                </c:pt>
                <c:pt idx="78">
                  <c:v>1377.2</c:v>
                </c:pt>
                <c:pt idx="79">
                  <c:v>1380.4</c:v>
                </c:pt>
                <c:pt idx="80">
                  <c:v>1367.4</c:v>
                </c:pt>
                <c:pt idx="82">
                  <c:v>1354.5</c:v>
                </c:pt>
                <c:pt idx="84">
                  <c:v>1393.2</c:v>
                </c:pt>
                <c:pt idx="85">
                  <c:v>1381.1</c:v>
                </c:pt>
                <c:pt idx="86">
                  <c:v>1408.5</c:v>
                </c:pt>
                <c:pt idx="87">
                  <c:v>1443.2</c:v>
                </c:pt>
                <c:pt idx="88">
                  <c:v>1356.2</c:v>
                </c:pt>
                <c:pt idx="89">
                  <c:v>1409.2</c:v>
                </c:pt>
                <c:pt idx="91">
                  <c:v>1394.7</c:v>
                </c:pt>
                <c:pt idx="92">
                  <c:v>1402.6</c:v>
                </c:pt>
                <c:pt idx="93">
                  <c:v>1406.1</c:v>
                </c:pt>
                <c:pt idx="94">
                  <c:v>1387.1</c:v>
                </c:pt>
                <c:pt idx="96">
                  <c:v>1362.5</c:v>
                </c:pt>
                <c:pt idx="97">
                  <c:v>1429.3</c:v>
                </c:pt>
                <c:pt idx="98">
                  <c:v>1466</c:v>
                </c:pt>
                <c:pt idx="107">
                  <c:v>1373.6</c:v>
                </c:pt>
                <c:pt idx="108">
                  <c:v>1359.7</c:v>
                </c:pt>
                <c:pt idx="109">
                  <c:v>1410.5</c:v>
                </c:pt>
                <c:pt idx="110">
                  <c:v>1411.2</c:v>
                </c:pt>
                <c:pt idx="111">
                  <c:v>1412</c:v>
                </c:pt>
                <c:pt idx="112">
                  <c:v>1435.6</c:v>
                </c:pt>
                <c:pt idx="114">
                  <c:v>1408.4</c:v>
                </c:pt>
                <c:pt idx="116">
                  <c:v>1395.5</c:v>
                </c:pt>
                <c:pt idx="117">
                  <c:v>1384.4</c:v>
                </c:pt>
                <c:pt idx="119">
                  <c:v>1420.6</c:v>
                </c:pt>
                <c:pt idx="121">
                  <c:v>1438.5</c:v>
                </c:pt>
                <c:pt idx="127">
                  <c:v>1413.5</c:v>
                </c:pt>
                <c:pt idx="128">
                  <c:v>1461.1</c:v>
                </c:pt>
                <c:pt idx="129">
                  <c:v>1432</c:v>
                </c:pt>
                <c:pt idx="131">
                  <c:v>1431.2</c:v>
                </c:pt>
                <c:pt idx="133">
                  <c:v>1440</c:v>
                </c:pt>
                <c:pt idx="134">
                  <c:v>1444</c:v>
                </c:pt>
                <c:pt idx="135">
                  <c:v>1413.2</c:v>
                </c:pt>
                <c:pt idx="136">
                  <c:v>1510.8</c:v>
                </c:pt>
                <c:pt idx="137">
                  <c:v>1492.7</c:v>
                </c:pt>
                <c:pt idx="138">
                  <c:v>1429.8</c:v>
                </c:pt>
                <c:pt idx="139">
                  <c:v>1423.9</c:v>
                </c:pt>
                <c:pt idx="140">
                  <c:v>1427.5</c:v>
                </c:pt>
                <c:pt idx="141">
                  <c:v>1408.4</c:v>
                </c:pt>
                <c:pt idx="143">
                  <c:v>1505.1</c:v>
                </c:pt>
                <c:pt idx="144">
                  <c:v>1537.4</c:v>
                </c:pt>
                <c:pt idx="145">
                  <c:v>1508</c:v>
                </c:pt>
                <c:pt idx="146">
                  <c:v>1538.9</c:v>
                </c:pt>
                <c:pt idx="147">
                  <c:v>1563</c:v>
                </c:pt>
                <c:pt idx="148">
                  <c:v>1530</c:v>
                </c:pt>
                <c:pt idx="149">
                  <c:v>1468.6</c:v>
                </c:pt>
                <c:pt idx="150">
                  <c:v>1521.8</c:v>
                </c:pt>
                <c:pt idx="151">
                  <c:v>1529.1</c:v>
                </c:pt>
                <c:pt idx="152">
                  <c:v>1448.4</c:v>
                </c:pt>
                <c:pt idx="153">
                  <c:v>1451.7</c:v>
                </c:pt>
                <c:pt idx="154">
                  <c:v>1533.2</c:v>
                </c:pt>
                <c:pt idx="155">
                  <c:v>1529.9</c:v>
                </c:pt>
                <c:pt idx="156">
                  <c:v>1508.2</c:v>
                </c:pt>
                <c:pt idx="157">
                  <c:v>1504.3</c:v>
                </c:pt>
                <c:pt idx="158">
                  <c:v>1433.9</c:v>
                </c:pt>
                <c:pt idx="159">
                  <c:v>1465.7</c:v>
                </c:pt>
                <c:pt idx="160">
                  <c:v>1517.8</c:v>
                </c:pt>
                <c:pt idx="161">
                  <c:v>1494.4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3F-47A3-9B06-676C45FD2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45600"/>
        <c:axId val="239144352"/>
      </c:scatterChart>
      <c:valAx>
        <c:axId val="239145600"/>
        <c:scaling>
          <c:orientation val="minMax"/>
          <c:min val="0.65000000000000013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144352"/>
        <c:crosses val="autoZero"/>
        <c:crossBetween val="midCat"/>
      </c:valAx>
      <c:valAx>
        <c:axId val="239144352"/>
        <c:scaling>
          <c:orientation val="minMax"/>
          <c:max val="1525"/>
          <c:min val="132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14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45720</xdr:colOff>
      <xdr:row>132</xdr:row>
      <xdr:rowOff>26670</xdr:rowOff>
    </xdr:from>
    <xdr:to>
      <xdr:col>26</xdr:col>
      <xdr:colOff>365760</xdr:colOff>
      <xdr:row>165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68580</xdr:colOff>
      <xdr:row>111</xdr:row>
      <xdr:rowOff>99060</xdr:rowOff>
    </xdr:from>
    <xdr:to>
      <xdr:col>26</xdr:col>
      <xdr:colOff>396240</xdr:colOff>
      <xdr:row>130</xdr:row>
      <xdr:rowOff>152406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166</xdr:row>
          <xdr:rowOff>7620</xdr:rowOff>
        </xdr:from>
        <xdr:to>
          <xdr:col>16</xdr:col>
          <xdr:colOff>335280</xdr:colOff>
          <xdr:row>167</xdr:row>
          <xdr:rowOff>129540</xdr:rowOff>
        </xdr:to>
        <xdr:sp macro="" textlink="">
          <xdr:nvSpPr>
            <xdr:cNvPr id="1026" name="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7"/>
  <sheetViews>
    <sheetView workbookViewId="0">
      <selection activeCell="F1" sqref="F1:F27"/>
    </sheetView>
  </sheetViews>
  <sheetFormatPr defaultRowHeight="14.4" x14ac:dyDescent="0.3"/>
  <cols>
    <col min="1" max="2" width="19" customWidth="1"/>
  </cols>
  <sheetData>
    <row r="1" spans="1:6" x14ac:dyDescent="0.3">
      <c r="A1" t="s">
        <v>3</v>
      </c>
      <c r="B1" t="s">
        <v>4</v>
      </c>
      <c r="C1" t="s">
        <v>0</v>
      </c>
      <c r="D1" t="s">
        <v>1</v>
      </c>
      <c r="E1" t="s">
        <v>2</v>
      </c>
      <c r="F1">
        <v>12</v>
      </c>
    </row>
    <row r="2" spans="1:6" x14ac:dyDescent="0.3">
      <c r="A2" t="s">
        <v>3</v>
      </c>
      <c r="B2" t="s">
        <v>5</v>
      </c>
      <c r="C2" t="s">
        <v>0</v>
      </c>
      <c r="D2" t="s">
        <v>1</v>
      </c>
      <c r="E2" t="s">
        <v>2</v>
      </c>
      <c r="F2">
        <v>12</v>
      </c>
    </row>
    <row r="3" spans="1:6" x14ac:dyDescent="0.3">
      <c r="A3" t="s">
        <v>3</v>
      </c>
      <c r="B3" t="s">
        <v>6</v>
      </c>
      <c r="C3" t="s">
        <v>0</v>
      </c>
      <c r="D3" t="s">
        <v>1</v>
      </c>
      <c r="E3" t="s">
        <v>2</v>
      </c>
      <c r="F3">
        <v>11</v>
      </c>
    </row>
    <row r="4" spans="1:6" x14ac:dyDescent="0.3">
      <c r="A4" t="s">
        <v>3</v>
      </c>
      <c r="B4" t="s">
        <v>7</v>
      </c>
      <c r="C4" t="s">
        <v>0</v>
      </c>
      <c r="D4" t="s">
        <v>1</v>
      </c>
      <c r="E4" t="s">
        <v>2</v>
      </c>
      <c r="F4">
        <v>8</v>
      </c>
    </row>
    <row r="5" spans="1:6" x14ac:dyDescent="0.3">
      <c r="A5" t="s">
        <v>3</v>
      </c>
      <c r="B5" t="s">
        <v>8</v>
      </c>
      <c r="C5" t="s">
        <v>0</v>
      </c>
      <c r="D5" t="s">
        <v>1</v>
      </c>
      <c r="E5" t="s">
        <v>2</v>
      </c>
      <c r="F5">
        <v>5</v>
      </c>
    </row>
    <row r="6" spans="1:6" x14ac:dyDescent="0.3">
      <c r="A6" t="s">
        <v>3</v>
      </c>
      <c r="B6" t="s">
        <v>9</v>
      </c>
      <c r="C6" t="s">
        <v>0</v>
      </c>
      <c r="D6" t="s">
        <v>1</v>
      </c>
      <c r="E6" t="s">
        <v>2</v>
      </c>
      <c r="F6">
        <v>5</v>
      </c>
    </row>
    <row r="7" spans="1:6" x14ac:dyDescent="0.3">
      <c r="A7" t="s">
        <v>3</v>
      </c>
      <c r="B7" t="s">
        <v>10</v>
      </c>
      <c r="C7" t="s">
        <v>0</v>
      </c>
      <c r="D7" t="s">
        <v>1</v>
      </c>
      <c r="E7" t="s">
        <v>2</v>
      </c>
      <c r="F7">
        <v>9</v>
      </c>
    </row>
    <row r="8" spans="1:6" x14ac:dyDescent="0.3">
      <c r="A8" t="s">
        <v>3</v>
      </c>
      <c r="B8" t="s">
        <v>11</v>
      </c>
      <c r="C8" t="s">
        <v>0</v>
      </c>
      <c r="D8" t="s">
        <v>1</v>
      </c>
      <c r="E8" t="s">
        <v>2</v>
      </c>
      <c r="F8">
        <v>9</v>
      </c>
    </row>
    <row r="9" spans="1:6" x14ac:dyDescent="0.3">
      <c r="A9" t="s">
        <v>3</v>
      </c>
      <c r="B9" t="s">
        <v>12</v>
      </c>
      <c r="C9" t="s">
        <v>0</v>
      </c>
      <c r="D9" t="s">
        <v>1</v>
      </c>
      <c r="E9" t="s">
        <v>2</v>
      </c>
      <c r="F9">
        <v>9</v>
      </c>
    </row>
    <row r="10" spans="1:6" x14ac:dyDescent="0.3">
      <c r="A10" t="s">
        <v>3</v>
      </c>
      <c r="B10" t="s">
        <v>13</v>
      </c>
      <c r="C10" t="s">
        <v>0</v>
      </c>
      <c r="D10" t="s">
        <v>1</v>
      </c>
      <c r="E10" t="s">
        <v>2</v>
      </c>
      <c r="F10">
        <v>8</v>
      </c>
    </row>
    <row r="11" spans="1:6" x14ac:dyDescent="0.3">
      <c r="A11" t="s">
        <v>3</v>
      </c>
      <c r="B11" t="s">
        <v>14</v>
      </c>
      <c r="C11" t="s">
        <v>0</v>
      </c>
      <c r="D11" t="s">
        <v>1</v>
      </c>
      <c r="E11" t="s">
        <v>2</v>
      </c>
      <c r="F11">
        <v>8</v>
      </c>
    </row>
    <row r="12" spans="1:6" x14ac:dyDescent="0.3">
      <c r="A12" t="s">
        <v>3</v>
      </c>
      <c r="B12" t="s">
        <v>15</v>
      </c>
      <c r="C12" t="s">
        <v>0</v>
      </c>
      <c r="D12" t="s">
        <v>1</v>
      </c>
      <c r="E12" t="s">
        <v>2</v>
      </c>
      <c r="F12">
        <v>9</v>
      </c>
    </row>
    <row r="13" spans="1:6" x14ac:dyDescent="0.3">
      <c r="A13" t="s">
        <v>3</v>
      </c>
      <c r="B13" t="s">
        <v>16</v>
      </c>
      <c r="C13" t="s">
        <v>0</v>
      </c>
      <c r="D13" t="s">
        <v>1</v>
      </c>
      <c r="E13" t="s">
        <v>2</v>
      </c>
      <c r="F13">
        <v>12</v>
      </c>
    </row>
    <row r="14" spans="1:6" x14ac:dyDescent="0.3">
      <c r="A14" t="s">
        <v>3</v>
      </c>
      <c r="B14" t="s">
        <v>17</v>
      </c>
      <c r="C14" t="s">
        <v>0</v>
      </c>
      <c r="D14" t="s">
        <v>1</v>
      </c>
      <c r="E14" t="s">
        <v>2</v>
      </c>
      <c r="F14">
        <v>6</v>
      </c>
    </row>
    <row r="15" spans="1:6" x14ac:dyDescent="0.3">
      <c r="A15" t="s">
        <v>3</v>
      </c>
      <c r="B15" t="s">
        <v>18</v>
      </c>
      <c r="C15" t="s">
        <v>0</v>
      </c>
      <c r="D15" t="s">
        <v>1</v>
      </c>
      <c r="E15" t="s">
        <v>2</v>
      </c>
      <c r="F15">
        <v>7</v>
      </c>
    </row>
    <row r="16" spans="1:6" x14ac:dyDescent="0.3">
      <c r="A16" t="s">
        <v>3</v>
      </c>
      <c r="B16" t="s">
        <v>19</v>
      </c>
      <c r="C16" t="s">
        <v>0</v>
      </c>
      <c r="D16" t="s">
        <v>1</v>
      </c>
      <c r="E16" t="s">
        <v>2</v>
      </c>
      <c r="F16">
        <v>5</v>
      </c>
    </row>
    <row r="17" spans="1:6" x14ac:dyDescent="0.3">
      <c r="A17" t="s">
        <v>3</v>
      </c>
      <c r="B17" t="s">
        <v>20</v>
      </c>
      <c r="C17" t="s">
        <v>0</v>
      </c>
      <c r="D17" t="s">
        <v>1</v>
      </c>
      <c r="E17" t="s">
        <v>2</v>
      </c>
      <c r="F17">
        <v>6</v>
      </c>
    </row>
    <row r="18" spans="1:6" x14ac:dyDescent="0.3">
      <c r="A18" t="s">
        <v>3</v>
      </c>
      <c r="B18" t="s">
        <v>21</v>
      </c>
      <c r="C18" t="s">
        <v>0</v>
      </c>
      <c r="D18" t="s">
        <v>1</v>
      </c>
      <c r="E18" t="s">
        <v>2</v>
      </c>
      <c r="F18">
        <v>6</v>
      </c>
    </row>
    <row r="19" spans="1:6" x14ac:dyDescent="0.3">
      <c r="A19" t="s">
        <v>3</v>
      </c>
      <c r="B19" t="s">
        <v>22</v>
      </c>
      <c r="C19" t="s">
        <v>0</v>
      </c>
      <c r="D19" t="s">
        <v>1</v>
      </c>
      <c r="E19" t="s">
        <v>2</v>
      </c>
      <c r="F19">
        <v>5</v>
      </c>
    </row>
    <row r="20" spans="1:6" x14ac:dyDescent="0.3">
      <c r="A20" t="s">
        <v>3</v>
      </c>
      <c r="B20" t="s">
        <v>23</v>
      </c>
      <c r="C20" t="s">
        <v>0</v>
      </c>
      <c r="D20" t="s">
        <v>1</v>
      </c>
      <c r="E20" t="s">
        <v>2</v>
      </c>
      <c r="F20">
        <v>5</v>
      </c>
    </row>
    <row r="21" spans="1:6" x14ac:dyDescent="0.3">
      <c r="A21" t="s">
        <v>3</v>
      </c>
      <c r="B21" t="s">
        <v>24</v>
      </c>
      <c r="C21" t="s">
        <v>0</v>
      </c>
      <c r="D21" t="s">
        <v>1</v>
      </c>
      <c r="E21" t="s">
        <v>2</v>
      </c>
      <c r="F21">
        <v>6</v>
      </c>
    </row>
    <row r="22" spans="1:6" x14ac:dyDescent="0.3">
      <c r="A22" t="s">
        <v>3</v>
      </c>
      <c r="B22" t="s">
        <v>25</v>
      </c>
      <c r="C22" t="s">
        <v>0</v>
      </c>
      <c r="D22" t="s">
        <v>1</v>
      </c>
      <c r="E22" t="s">
        <v>2</v>
      </c>
      <c r="F22">
        <v>6</v>
      </c>
    </row>
    <row r="23" spans="1:6" x14ac:dyDescent="0.3">
      <c r="A23" t="s">
        <v>3</v>
      </c>
      <c r="B23" t="s">
        <v>26</v>
      </c>
      <c r="C23" t="s">
        <v>0</v>
      </c>
      <c r="D23" t="s">
        <v>1</v>
      </c>
      <c r="E23" t="s">
        <v>2</v>
      </c>
      <c r="F23">
        <v>3</v>
      </c>
    </row>
    <row r="24" spans="1:6" x14ac:dyDescent="0.3">
      <c r="A24" t="s">
        <v>3</v>
      </c>
      <c r="B24" t="s">
        <v>27</v>
      </c>
      <c r="C24" t="s">
        <v>0</v>
      </c>
      <c r="D24" t="s">
        <v>1</v>
      </c>
      <c r="E24" t="s">
        <v>2</v>
      </c>
      <c r="F24">
        <v>7</v>
      </c>
    </row>
    <row r="25" spans="1:6" x14ac:dyDescent="0.3">
      <c r="A25" t="s">
        <v>3</v>
      </c>
      <c r="B25" t="s">
        <v>28</v>
      </c>
      <c r="C25" t="s">
        <v>0</v>
      </c>
      <c r="D25" t="s">
        <v>1</v>
      </c>
      <c r="E25" t="s">
        <v>2</v>
      </c>
      <c r="F25">
        <v>3</v>
      </c>
    </row>
    <row r="26" spans="1:6" x14ac:dyDescent="0.3">
      <c r="A26" t="s">
        <v>3</v>
      </c>
      <c r="B26" t="s">
        <v>29</v>
      </c>
      <c r="C26" t="s">
        <v>0</v>
      </c>
      <c r="D26" t="s">
        <v>1</v>
      </c>
      <c r="E26" t="s">
        <v>2</v>
      </c>
      <c r="F26">
        <v>4</v>
      </c>
    </row>
    <row r="27" spans="1:6" x14ac:dyDescent="0.3">
      <c r="A27" t="s">
        <v>3</v>
      </c>
      <c r="B27" t="s">
        <v>30</v>
      </c>
      <c r="C27" t="s">
        <v>0</v>
      </c>
      <c r="D27" t="s">
        <v>1</v>
      </c>
      <c r="E27" t="s">
        <v>2</v>
      </c>
      <c r="F27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3202F-C81C-4323-B669-7F64BAB3058E}">
  <sheetPr codeName="Sheet2"/>
  <dimension ref="A1:D41"/>
  <sheetViews>
    <sheetView topLeftCell="A27" workbookViewId="0">
      <selection activeCell="D41" sqref="D1:D41"/>
    </sheetView>
  </sheetViews>
  <sheetFormatPr defaultRowHeight="14.4" x14ac:dyDescent="0.3"/>
  <cols>
    <col min="2" max="2" width="20.5546875" customWidth="1"/>
  </cols>
  <sheetData>
    <row r="1" spans="1:4" x14ac:dyDescent="0.3">
      <c r="A1" t="s">
        <v>31</v>
      </c>
      <c r="B1" t="s">
        <v>32</v>
      </c>
      <c r="C1" t="s">
        <v>33</v>
      </c>
      <c r="D1">
        <v>84</v>
      </c>
    </row>
    <row r="2" spans="1:4" x14ac:dyDescent="0.3">
      <c r="A2" t="s">
        <v>31</v>
      </c>
      <c r="B2" t="s">
        <v>34</v>
      </c>
      <c r="C2" t="s">
        <v>33</v>
      </c>
      <c r="D2">
        <v>75</v>
      </c>
    </row>
    <row r="3" spans="1:4" x14ac:dyDescent="0.3">
      <c r="A3" t="s">
        <v>31</v>
      </c>
      <c r="B3" t="s">
        <v>35</v>
      </c>
      <c r="C3" t="s">
        <v>33</v>
      </c>
      <c r="D3">
        <v>78</v>
      </c>
    </row>
    <row r="4" spans="1:4" x14ac:dyDescent="0.3">
      <c r="A4" t="s">
        <v>31</v>
      </c>
      <c r="B4" t="s">
        <v>36</v>
      </c>
      <c r="C4" t="s">
        <v>33</v>
      </c>
      <c r="D4">
        <v>87</v>
      </c>
    </row>
    <row r="5" spans="1:4" x14ac:dyDescent="0.3">
      <c r="A5" t="s">
        <v>31</v>
      </c>
      <c r="B5" t="s">
        <v>37</v>
      </c>
      <c r="C5" t="s">
        <v>33</v>
      </c>
      <c r="D5">
        <v>85</v>
      </c>
    </row>
    <row r="6" spans="1:4" x14ac:dyDescent="0.3">
      <c r="A6" t="s">
        <v>31</v>
      </c>
      <c r="B6" t="s">
        <v>38</v>
      </c>
      <c r="C6" t="s">
        <v>33</v>
      </c>
      <c r="D6">
        <v>84</v>
      </c>
    </row>
    <row r="7" spans="1:4" x14ac:dyDescent="0.3">
      <c r="A7" t="s">
        <v>31</v>
      </c>
      <c r="B7" t="s">
        <v>39</v>
      </c>
      <c r="C7" t="s">
        <v>33</v>
      </c>
      <c r="D7">
        <v>82</v>
      </c>
    </row>
    <row r="8" spans="1:4" x14ac:dyDescent="0.3">
      <c r="A8" t="s">
        <v>31</v>
      </c>
      <c r="B8" t="s">
        <v>40</v>
      </c>
      <c r="C8" t="s">
        <v>33</v>
      </c>
      <c r="D8">
        <v>83</v>
      </c>
    </row>
    <row r="9" spans="1:4" x14ac:dyDescent="0.3">
      <c r="A9" t="s">
        <v>31</v>
      </c>
      <c r="B9" t="s">
        <v>41</v>
      </c>
      <c r="C9" t="s">
        <v>33</v>
      </c>
      <c r="D9">
        <v>74</v>
      </c>
    </row>
    <row r="10" spans="1:4" x14ac:dyDescent="0.3">
      <c r="A10" t="s">
        <v>31</v>
      </c>
      <c r="B10" t="s">
        <v>42</v>
      </c>
      <c r="C10" t="s">
        <v>33</v>
      </c>
      <c r="D10">
        <v>85</v>
      </c>
    </row>
    <row r="11" spans="1:4" x14ac:dyDescent="0.3">
      <c r="A11" t="s">
        <v>31</v>
      </c>
      <c r="B11" t="s">
        <v>43</v>
      </c>
      <c r="C11" t="s">
        <v>33</v>
      </c>
      <c r="D11">
        <v>86</v>
      </c>
    </row>
    <row r="12" spans="1:4" x14ac:dyDescent="0.3">
      <c r="A12" t="s">
        <v>31</v>
      </c>
      <c r="B12" t="s">
        <v>44</v>
      </c>
      <c r="C12" t="s">
        <v>33</v>
      </c>
      <c r="D12">
        <v>93</v>
      </c>
    </row>
    <row r="13" spans="1:4" x14ac:dyDescent="0.3">
      <c r="A13" t="s">
        <v>31</v>
      </c>
      <c r="B13" t="s">
        <v>45</v>
      </c>
      <c r="C13" t="s">
        <v>33</v>
      </c>
      <c r="D13">
        <v>92</v>
      </c>
    </row>
    <row r="14" spans="1:4" x14ac:dyDescent="0.3">
      <c r="A14" t="s">
        <v>31</v>
      </c>
      <c r="B14" t="s">
        <v>46</v>
      </c>
      <c r="C14" t="s">
        <v>33</v>
      </c>
      <c r="D14">
        <v>88</v>
      </c>
    </row>
    <row r="15" spans="1:4" x14ac:dyDescent="0.3">
      <c r="A15" t="s">
        <v>31</v>
      </c>
      <c r="B15" t="s">
        <v>47</v>
      </c>
      <c r="C15" t="s">
        <v>33</v>
      </c>
      <c r="D15">
        <v>85</v>
      </c>
    </row>
    <row r="16" spans="1:4" x14ac:dyDescent="0.3">
      <c r="A16" t="s">
        <v>31</v>
      </c>
      <c r="B16" t="s">
        <v>48</v>
      </c>
      <c r="C16" t="s">
        <v>33</v>
      </c>
      <c r="D16">
        <v>81</v>
      </c>
    </row>
    <row r="17" spans="1:4" x14ac:dyDescent="0.3">
      <c r="A17" t="s">
        <v>31</v>
      </c>
      <c r="B17" t="s">
        <v>4</v>
      </c>
      <c r="C17" t="s">
        <v>33</v>
      </c>
      <c r="D17">
        <v>77</v>
      </c>
    </row>
    <row r="18" spans="1:4" x14ac:dyDescent="0.3">
      <c r="A18" t="s">
        <v>31</v>
      </c>
      <c r="B18" t="s">
        <v>49</v>
      </c>
      <c r="C18" t="s">
        <v>33</v>
      </c>
      <c r="D18">
        <v>80</v>
      </c>
    </row>
    <row r="19" spans="1:4" x14ac:dyDescent="0.3">
      <c r="A19" t="s">
        <v>31</v>
      </c>
      <c r="B19" t="s">
        <v>50</v>
      </c>
      <c r="C19" t="s">
        <v>33</v>
      </c>
      <c r="D19">
        <v>77</v>
      </c>
    </row>
    <row r="20" spans="1:4" x14ac:dyDescent="0.3">
      <c r="A20" t="s">
        <v>31</v>
      </c>
      <c r="B20" t="s">
        <v>5</v>
      </c>
      <c r="C20" t="s">
        <v>33</v>
      </c>
      <c r="D20">
        <v>72</v>
      </c>
    </row>
    <row r="21" spans="1:4" x14ac:dyDescent="0.3">
      <c r="A21" t="s">
        <v>31</v>
      </c>
      <c r="B21" t="s">
        <v>6</v>
      </c>
      <c r="C21" t="s">
        <v>33</v>
      </c>
      <c r="D21">
        <v>68</v>
      </c>
    </row>
    <row r="22" spans="1:4" x14ac:dyDescent="0.3">
      <c r="A22" t="s">
        <v>31</v>
      </c>
      <c r="B22" t="s">
        <v>7</v>
      </c>
      <c r="C22" t="s">
        <v>33</v>
      </c>
      <c r="D22">
        <v>62</v>
      </c>
    </row>
    <row r="23" spans="1:4" x14ac:dyDescent="0.3">
      <c r="A23" t="s">
        <v>31</v>
      </c>
      <c r="B23" t="s">
        <v>8</v>
      </c>
      <c r="C23" t="s">
        <v>33</v>
      </c>
      <c r="D23">
        <v>63</v>
      </c>
    </row>
    <row r="24" spans="1:4" x14ac:dyDescent="0.3">
      <c r="A24" t="s">
        <v>31</v>
      </c>
      <c r="B24" t="s">
        <v>10</v>
      </c>
      <c r="C24" t="s">
        <v>33</v>
      </c>
      <c r="D24">
        <v>65</v>
      </c>
    </row>
    <row r="25" spans="1:4" x14ac:dyDescent="0.3">
      <c r="A25" t="s">
        <v>31</v>
      </c>
      <c r="B25" t="s">
        <v>11</v>
      </c>
      <c r="C25" t="s">
        <v>33</v>
      </c>
      <c r="D25">
        <v>67</v>
      </c>
    </row>
    <row r="26" spans="1:4" x14ac:dyDescent="0.3">
      <c r="A26" t="s">
        <v>31</v>
      </c>
      <c r="B26" t="s">
        <v>13</v>
      </c>
      <c r="C26" t="s">
        <v>33</v>
      </c>
      <c r="D26">
        <v>62</v>
      </c>
    </row>
    <row r="27" spans="1:4" x14ac:dyDescent="0.3">
      <c r="A27" t="s">
        <v>31</v>
      </c>
      <c r="B27" t="s">
        <v>14</v>
      </c>
      <c r="C27" t="s">
        <v>33</v>
      </c>
      <c r="D27">
        <v>62</v>
      </c>
    </row>
    <row r="28" spans="1:4" x14ac:dyDescent="0.3">
      <c r="A28" t="s">
        <v>31</v>
      </c>
      <c r="B28" t="s">
        <v>15</v>
      </c>
      <c r="C28" t="s">
        <v>33</v>
      </c>
      <c r="D28">
        <v>64</v>
      </c>
    </row>
    <row r="29" spans="1:4" x14ac:dyDescent="0.3">
      <c r="A29" t="s">
        <v>31</v>
      </c>
      <c r="B29" t="s">
        <v>16</v>
      </c>
      <c r="C29" t="s">
        <v>33</v>
      </c>
      <c r="D29">
        <v>60</v>
      </c>
    </row>
    <row r="30" spans="1:4" x14ac:dyDescent="0.3">
      <c r="A30" t="s">
        <v>31</v>
      </c>
      <c r="B30" t="s">
        <v>17</v>
      </c>
      <c r="C30" t="s">
        <v>33</v>
      </c>
      <c r="D30">
        <v>59</v>
      </c>
    </row>
    <row r="31" spans="1:4" x14ac:dyDescent="0.3">
      <c r="A31" t="s">
        <v>31</v>
      </c>
      <c r="B31" t="s">
        <v>18</v>
      </c>
      <c r="C31" t="s">
        <v>33</v>
      </c>
      <c r="D31">
        <v>57</v>
      </c>
    </row>
    <row r="32" spans="1:4" x14ac:dyDescent="0.3">
      <c r="A32" t="s">
        <v>31</v>
      </c>
      <c r="B32" t="s">
        <v>19</v>
      </c>
      <c r="C32" t="s">
        <v>33</v>
      </c>
      <c r="D32">
        <v>58</v>
      </c>
    </row>
    <row r="33" spans="1:4" x14ac:dyDescent="0.3">
      <c r="A33" t="s">
        <v>31</v>
      </c>
      <c r="B33" t="s">
        <v>20</v>
      </c>
      <c r="C33" t="s">
        <v>33</v>
      </c>
      <c r="D33">
        <v>56</v>
      </c>
    </row>
    <row r="34" spans="1:4" x14ac:dyDescent="0.3">
      <c r="A34" t="s">
        <v>31</v>
      </c>
      <c r="B34" t="s">
        <v>21</v>
      </c>
      <c r="C34" t="s">
        <v>33</v>
      </c>
      <c r="D34">
        <v>55</v>
      </c>
    </row>
    <row r="35" spans="1:4" x14ac:dyDescent="0.3">
      <c r="A35" t="s">
        <v>31</v>
      </c>
      <c r="B35" t="s">
        <v>22</v>
      </c>
      <c r="C35" t="s">
        <v>33</v>
      </c>
      <c r="D35">
        <v>58</v>
      </c>
    </row>
    <row r="36" spans="1:4" x14ac:dyDescent="0.3">
      <c r="A36" t="s">
        <v>31</v>
      </c>
      <c r="B36" t="s">
        <v>23</v>
      </c>
      <c r="C36" t="s">
        <v>33</v>
      </c>
      <c r="D36">
        <v>58</v>
      </c>
    </row>
    <row r="37" spans="1:4" x14ac:dyDescent="0.3">
      <c r="A37" t="s">
        <v>31</v>
      </c>
      <c r="B37" t="s">
        <v>24</v>
      </c>
      <c r="C37" t="s">
        <v>33</v>
      </c>
      <c r="D37">
        <v>56</v>
      </c>
    </row>
    <row r="38" spans="1:4" x14ac:dyDescent="0.3">
      <c r="A38" t="s">
        <v>31</v>
      </c>
      <c r="B38" t="s">
        <v>25</v>
      </c>
      <c r="C38" t="s">
        <v>33</v>
      </c>
      <c r="D38">
        <v>56</v>
      </c>
    </row>
    <row r="39" spans="1:4" x14ac:dyDescent="0.3">
      <c r="A39" t="s">
        <v>31</v>
      </c>
      <c r="B39" t="s">
        <v>26</v>
      </c>
      <c r="C39" t="s">
        <v>33</v>
      </c>
      <c r="D39">
        <v>56</v>
      </c>
    </row>
    <row r="40" spans="1:4" x14ac:dyDescent="0.3">
      <c r="A40" t="s">
        <v>31</v>
      </c>
      <c r="B40" t="s">
        <v>27</v>
      </c>
      <c r="C40" t="s">
        <v>33</v>
      </c>
      <c r="D40">
        <v>64</v>
      </c>
    </row>
    <row r="41" spans="1:4" x14ac:dyDescent="0.3">
      <c r="A41" t="s">
        <v>31</v>
      </c>
      <c r="B41" t="s">
        <v>28</v>
      </c>
      <c r="C41" t="s">
        <v>33</v>
      </c>
      <c r="D41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EE342-DBC6-45F5-B8C3-642DC33E53FC}">
  <sheetPr codeName="Sheet3"/>
  <dimension ref="A1:S172"/>
  <sheetViews>
    <sheetView tabSelected="1" workbookViewId="0">
      <pane ySplit="1" topLeftCell="A153" activePane="bottomLeft" state="frozen"/>
      <selection pane="bottomLeft" activeCell="B163" sqref="B163"/>
    </sheetView>
  </sheetViews>
  <sheetFormatPr defaultRowHeight="14.4" x14ac:dyDescent="0.3"/>
  <cols>
    <col min="1" max="1" width="6.77734375" style="4" customWidth="1"/>
    <col min="2" max="2" width="4.44140625" customWidth="1"/>
    <col min="3" max="3" width="6" customWidth="1"/>
    <col min="4" max="7" width="6" style="2" customWidth="1"/>
    <col min="8" max="8" width="5.6640625" style="2" customWidth="1"/>
    <col min="9" max="9" width="7.6640625" style="2" customWidth="1"/>
    <col min="10" max="12" width="8.88671875" style="3"/>
    <col min="13" max="13" width="5.77734375" style="3" customWidth="1"/>
    <col min="14" max="14" width="8.88671875" style="13"/>
  </cols>
  <sheetData>
    <row r="1" spans="1:19" x14ac:dyDescent="0.3">
      <c r="B1" t="s">
        <v>3</v>
      </c>
      <c r="C1" t="s">
        <v>31</v>
      </c>
      <c r="D1" s="2" t="s">
        <v>67</v>
      </c>
      <c r="E1" s="2" t="s">
        <v>70</v>
      </c>
      <c r="F1" s="2" t="s">
        <v>92</v>
      </c>
      <c r="G1" s="2" t="s">
        <v>68</v>
      </c>
      <c r="H1" s="2" t="s">
        <v>93</v>
      </c>
      <c r="I1" s="2" t="s">
        <v>88</v>
      </c>
      <c r="J1" s="3" t="s">
        <v>128</v>
      </c>
      <c r="K1" s="3" t="s">
        <v>125</v>
      </c>
      <c r="L1" s="3" t="s">
        <v>126</v>
      </c>
      <c r="M1" s="3" t="s">
        <v>137</v>
      </c>
      <c r="N1" s="13" t="s">
        <v>127</v>
      </c>
      <c r="O1" s="2"/>
      <c r="P1" s="2"/>
      <c r="Q1" s="2"/>
    </row>
    <row r="2" spans="1:19" x14ac:dyDescent="0.3">
      <c r="A2" s="4" t="s">
        <v>32</v>
      </c>
      <c r="C2">
        <v>84</v>
      </c>
      <c r="O2" s="1"/>
      <c r="P2" s="1"/>
      <c r="Q2" s="1"/>
      <c r="S2" s="2"/>
    </row>
    <row r="3" spans="1:19" x14ac:dyDescent="0.3">
      <c r="A3" s="4" t="s">
        <v>34</v>
      </c>
      <c r="C3">
        <v>75</v>
      </c>
      <c r="J3" s="3">
        <v>1369.3</v>
      </c>
      <c r="O3" s="1"/>
      <c r="P3" s="1"/>
      <c r="Q3" s="1"/>
      <c r="R3" s="2"/>
      <c r="S3" s="2"/>
    </row>
    <row r="4" spans="1:19" x14ac:dyDescent="0.3">
      <c r="A4" s="4" t="s">
        <v>35</v>
      </c>
      <c r="C4">
        <v>78</v>
      </c>
      <c r="O4" s="1"/>
      <c r="P4" s="1"/>
      <c r="Q4" s="1"/>
      <c r="R4" s="2"/>
      <c r="S4" s="2"/>
    </row>
    <row r="5" spans="1:19" x14ac:dyDescent="0.3">
      <c r="A5" s="4" t="s">
        <v>36</v>
      </c>
      <c r="C5">
        <v>87</v>
      </c>
      <c r="O5" s="1"/>
      <c r="P5" s="1"/>
      <c r="Q5" s="1"/>
      <c r="R5" s="2"/>
      <c r="S5" s="2"/>
    </row>
    <row r="6" spans="1:19" x14ac:dyDescent="0.3">
      <c r="A6" s="4" t="s">
        <v>37</v>
      </c>
      <c r="C6">
        <v>85</v>
      </c>
      <c r="O6" s="1"/>
      <c r="P6" s="1"/>
      <c r="Q6" s="1"/>
      <c r="R6" s="2"/>
      <c r="S6" s="2"/>
    </row>
    <row r="7" spans="1:19" x14ac:dyDescent="0.3">
      <c r="A7" s="4" t="s">
        <v>38</v>
      </c>
      <c r="C7">
        <v>84</v>
      </c>
      <c r="O7" s="1"/>
      <c r="P7" s="1"/>
      <c r="Q7" s="1"/>
      <c r="R7" s="2"/>
      <c r="S7" s="2"/>
    </row>
    <row r="8" spans="1:19" x14ac:dyDescent="0.3">
      <c r="A8" s="4" t="s">
        <v>39</v>
      </c>
      <c r="C8">
        <v>82</v>
      </c>
      <c r="J8" s="3">
        <v>1319.9</v>
      </c>
      <c r="O8" s="1"/>
      <c r="P8" s="1"/>
      <c r="Q8" s="1"/>
      <c r="R8" s="2"/>
      <c r="S8" s="2"/>
    </row>
    <row r="9" spans="1:19" s="2" customFormat="1" x14ac:dyDescent="0.3">
      <c r="A9" s="4" t="s">
        <v>59</v>
      </c>
      <c r="J9" s="3">
        <v>1338</v>
      </c>
      <c r="K9" s="3"/>
      <c r="L9" s="3"/>
      <c r="M9" s="3"/>
      <c r="N9" s="13"/>
      <c r="O9" s="1"/>
      <c r="P9" s="1"/>
      <c r="Q9" s="1"/>
    </row>
    <row r="10" spans="1:19" x14ac:dyDescent="0.3">
      <c r="A10" s="4" t="s">
        <v>40</v>
      </c>
      <c r="C10">
        <v>83</v>
      </c>
      <c r="O10" s="1"/>
      <c r="P10" s="1"/>
      <c r="Q10" s="1"/>
      <c r="R10" s="2"/>
      <c r="S10" s="2"/>
    </row>
    <row r="11" spans="1:19" x14ac:dyDescent="0.3">
      <c r="A11" s="4" t="s">
        <v>41</v>
      </c>
      <c r="C11">
        <v>74</v>
      </c>
      <c r="J11" s="3">
        <v>1334.9</v>
      </c>
      <c r="O11" s="1"/>
      <c r="P11" s="1"/>
      <c r="Q11" s="1"/>
      <c r="R11" s="2"/>
      <c r="S11" s="2"/>
    </row>
    <row r="12" spans="1:19" x14ac:dyDescent="0.3">
      <c r="A12" s="4" t="s">
        <v>42</v>
      </c>
      <c r="C12">
        <v>85</v>
      </c>
      <c r="J12" s="3">
        <v>1341.9</v>
      </c>
      <c r="O12" s="1"/>
      <c r="P12" s="1"/>
      <c r="Q12" s="1"/>
      <c r="R12" s="2"/>
      <c r="S12" s="2"/>
    </row>
    <row r="13" spans="1:19" x14ac:dyDescent="0.3">
      <c r="A13" s="4" t="s">
        <v>43</v>
      </c>
      <c r="C13">
        <v>86</v>
      </c>
      <c r="O13" s="1"/>
      <c r="P13" s="1"/>
      <c r="Q13" s="1"/>
      <c r="R13" s="2"/>
      <c r="S13" s="2"/>
    </row>
    <row r="14" spans="1:19" x14ac:dyDescent="0.3">
      <c r="A14" s="4" t="s">
        <v>44</v>
      </c>
      <c r="C14">
        <v>93</v>
      </c>
      <c r="J14" s="3">
        <v>1343.4</v>
      </c>
      <c r="O14" s="1"/>
      <c r="P14" s="1"/>
      <c r="Q14" s="1"/>
      <c r="R14" s="2"/>
      <c r="S14" s="2"/>
    </row>
    <row r="15" spans="1:19" x14ac:dyDescent="0.3">
      <c r="A15" s="4" t="s">
        <v>45</v>
      </c>
      <c r="C15">
        <v>92</v>
      </c>
      <c r="O15" s="1"/>
      <c r="P15" s="1"/>
      <c r="Q15" s="1"/>
      <c r="R15" s="2"/>
      <c r="S15" s="2"/>
    </row>
    <row r="16" spans="1:19" x14ac:dyDescent="0.3">
      <c r="A16" s="4" t="s">
        <v>46</v>
      </c>
      <c r="C16">
        <v>88</v>
      </c>
      <c r="J16" s="3">
        <v>1328.4</v>
      </c>
      <c r="O16" s="1"/>
      <c r="P16" s="1"/>
      <c r="Q16" s="1"/>
      <c r="R16" s="2"/>
      <c r="S16" s="2"/>
    </row>
    <row r="17" spans="1:19" x14ac:dyDescent="0.3">
      <c r="A17" s="4" t="s">
        <v>47</v>
      </c>
      <c r="C17">
        <v>85</v>
      </c>
      <c r="J17" s="3">
        <v>1293.3</v>
      </c>
      <c r="O17" s="1"/>
      <c r="P17" s="1"/>
      <c r="Q17" s="1"/>
      <c r="R17" s="2"/>
      <c r="S17" s="2"/>
    </row>
    <row r="18" spans="1:19" x14ac:dyDescent="0.3">
      <c r="A18" s="4" t="s">
        <v>48</v>
      </c>
      <c r="C18">
        <v>81</v>
      </c>
      <c r="J18" s="3">
        <v>1328.2</v>
      </c>
      <c r="O18" s="1"/>
      <c r="P18" s="1"/>
      <c r="Q18" s="1"/>
      <c r="R18" s="2"/>
      <c r="S18" s="2"/>
    </row>
    <row r="19" spans="1:19" x14ac:dyDescent="0.3">
      <c r="A19" s="4" t="s">
        <v>4</v>
      </c>
      <c r="B19">
        <v>12</v>
      </c>
      <c r="C19">
        <v>77</v>
      </c>
      <c r="G19" s="2">
        <f>B19+C19</f>
        <v>89</v>
      </c>
      <c r="J19" s="3">
        <v>1329.7</v>
      </c>
      <c r="O19" s="1"/>
      <c r="P19" s="1"/>
      <c r="Q19" s="1"/>
      <c r="R19" s="2"/>
      <c r="S19" s="2"/>
    </row>
    <row r="20" spans="1:19" x14ac:dyDescent="0.3">
      <c r="A20" s="4" t="s">
        <v>49</v>
      </c>
      <c r="C20">
        <v>80</v>
      </c>
      <c r="J20" s="3">
        <v>1303.7</v>
      </c>
      <c r="O20" s="1"/>
      <c r="P20" s="1"/>
      <c r="Q20" s="1"/>
      <c r="R20" s="2"/>
      <c r="S20" s="2"/>
    </row>
    <row r="21" spans="1:19" x14ac:dyDescent="0.3">
      <c r="A21" s="4" t="s">
        <v>50</v>
      </c>
      <c r="C21">
        <v>77</v>
      </c>
      <c r="J21" s="3">
        <v>1337.6</v>
      </c>
      <c r="O21" s="1"/>
      <c r="P21" s="1"/>
      <c r="Q21" s="1"/>
      <c r="R21" s="2"/>
      <c r="S21" s="2"/>
    </row>
    <row r="22" spans="1:19" x14ac:dyDescent="0.3">
      <c r="A22" s="4" t="s">
        <v>5</v>
      </c>
      <c r="B22">
        <v>12</v>
      </c>
      <c r="C22">
        <v>72</v>
      </c>
      <c r="G22" s="2">
        <f>B22+C22</f>
        <v>84</v>
      </c>
      <c r="J22" s="3">
        <v>1334.4</v>
      </c>
      <c r="O22" s="1"/>
      <c r="P22" s="1"/>
      <c r="Q22" s="1"/>
      <c r="R22" s="2"/>
      <c r="S22" s="2"/>
    </row>
    <row r="23" spans="1:19" x14ac:dyDescent="0.3">
      <c r="A23" s="4" t="s">
        <v>6</v>
      </c>
      <c r="B23">
        <v>11</v>
      </c>
      <c r="C23">
        <v>68</v>
      </c>
      <c r="G23" s="2">
        <f>B23+C23</f>
        <v>79</v>
      </c>
      <c r="O23" s="1"/>
      <c r="P23" s="1"/>
      <c r="Q23" s="1"/>
      <c r="R23" s="2"/>
      <c r="S23" s="2"/>
    </row>
    <row r="24" spans="1:19" x14ac:dyDescent="0.3">
      <c r="A24" s="4" t="s">
        <v>7</v>
      </c>
      <c r="B24">
        <v>8</v>
      </c>
      <c r="C24">
        <v>62</v>
      </c>
      <c r="G24" s="2">
        <f>B24+C24</f>
        <v>70</v>
      </c>
      <c r="O24" s="1"/>
      <c r="P24" s="1"/>
      <c r="Q24" s="1"/>
      <c r="R24" s="2"/>
      <c r="S24" s="2"/>
    </row>
    <row r="25" spans="1:19" x14ac:dyDescent="0.3">
      <c r="A25" s="4" t="s">
        <v>8</v>
      </c>
      <c r="B25">
        <v>5</v>
      </c>
      <c r="C25">
        <v>63</v>
      </c>
      <c r="G25" s="2">
        <f>B25+C25</f>
        <v>68</v>
      </c>
      <c r="J25" s="3">
        <v>1324</v>
      </c>
      <c r="O25" s="1"/>
      <c r="P25" s="1"/>
      <c r="Q25" s="1"/>
      <c r="R25" s="2"/>
      <c r="S25" s="2"/>
    </row>
    <row r="26" spans="1:19" x14ac:dyDescent="0.3">
      <c r="A26" s="4" t="s">
        <v>9</v>
      </c>
      <c r="B26">
        <v>5</v>
      </c>
      <c r="J26" s="3">
        <v>1334</v>
      </c>
      <c r="O26" s="1"/>
      <c r="P26" s="1"/>
      <c r="Q26" s="1"/>
      <c r="R26" s="2"/>
      <c r="S26" s="2"/>
    </row>
    <row r="27" spans="1:19" x14ac:dyDescent="0.3">
      <c r="A27" s="4" t="s">
        <v>10</v>
      </c>
      <c r="B27">
        <v>9</v>
      </c>
      <c r="C27">
        <v>65</v>
      </c>
      <c r="G27" s="2">
        <f t="shared" ref="G27:G28" si="0">B27+C27</f>
        <v>74</v>
      </c>
      <c r="O27" s="1"/>
      <c r="P27" s="1"/>
      <c r="Q27" s="1"/>
      <c r="R27" s="2"/>
      <c r="S27" s="2"/>
    </row>
    <row r="28" spans="1:19" x14ac:dyDescent="0.3">
      <c r="A28" s="4" t="s">
        <v>11</v>
      </c>
      <c r="B28">
        <v>9</v>
      </c>
      <c r="C28">
        <v>67</v>
      </c>
      <c r="G28" s="2">
        <f t="shared" si="0"/>
        <v>76</v>
      </c>
      <c r="O28" s="1"/>
      <c r="P28" s="1"/>
      <c r="Q28" s="1"/>
      <c r="R28" s="2"/>
      <c r="S28" s="2"/>
    </row>
    <row r="29" spans="1:19" x14ac:dyDescent="0.3">
      <c r="A29" s="4" t="s">
        <v>12</v>
      </c>
      <c r="B29">
        <v>9</v>
      </c>
      <c r="O29" s="1"/>
      <c r="P29" s="1"/>
      <c r="Q29" s="1"/>
      <c r="R29" s="2"/>
      <c r="S29" s="2"/>
    </row>
    <row r="30" spans="1:19" x14ac:dyDescent="0.3">
      <c r="A30" s="4" t="s">
        <v>13</v>
      </c>
      <c r="B30">
        <v>8</v>
      </c>
      <c r="C30">
        <v>62</v>
      </c>
      <c r="G30" s="2">
        <f t="shared" ref="G30:G45" si="1">B30+C30</f>
        <v>70</v>
      </c>
      <c r="O30" s="1"/>
      <c r="P30" s="1"/>
      <c r="Q30" s="1"/>
      <c r="R30" s="2"/>
      <c r="S30" s="2"/>
    </row>
    <row r="31" spans="1:19" x14ac:dyDescent="0.3">
      <c r="A31" s="4" t="s">
        <v>14</v>
      </c>
      <c r="B31">
        <v>8</v>
      </c>
      <c r="C31">
        <v>62</v>
      </c>
      <c r="G31" s="2">
        <f t="shared" si="1"/>
        <v>70</v>
      </c>
      <c r="O31" s="1"/>
      <c r="P31" s="1"/>
      <c r="Q31" s="1"/>
      <c r="R31" s="2"/>
      <c r="S31" s="2"/>
    </row>
    <row r="32" spans="1:19" x14ac:dyDescent="0.3">
      <c r="A32" s="4" t="s">
        <v>15</v>
      </c>
      <c r="B32">
        <v>9</v>
      </c>
      <c r="C32">
        <v>64</v>
      </c>
      <c r="G32" s="2">
        <f t="shared" si="1"/>
        <v>73</v>
      </c>
      <c r="O32" s="1"/>
      <c r="P32" s="1"/>
      <c r="Q32" s="1"/>
      <c r="R32" s="2"/>
      <c r="S32" s="2"/>
    </row>
    <row r="33" spans="1:19" x14ac:dyDescent="0.3">
      <c r="A33" s="4" t="s">
        <v>16</v>
      </c>
      <c r="B33">
        <v>12</v>
      </c>
      <c r="C33">
        <v>60</v>
      </c>
      <c r="G33" s="2">
        <f t="shared" si="1"/>
        <v>72</v>
      </c>
      <c r="O33" s="1"/>
      <c r="P33" s="1"/>
      <c r="Q33" s="1"/>
      <c r="R33" s="2"/>
      <c r="S33" s="2"/>
    </row>
    <row r="34" spans="1:19" x14ac:dyDescent="0.3">
      <c r="A34" s="4" t="s">
        <v>17</v>
      </c>
      <c r="B34">
        <v>6</v>
      </c>
      <c r="C34">
        <v>59</v>
      </c>
      <c r="G34" s="2">
        <f t="shared" si="1"/>
        <v>65</v>
      </c>
      <c r="J34" s="3">
        <v>1404</v>
      </c>
      <c r="O34" s="1"/>
      <c r="P34" s="1"/>
      <c r="Q34" s="1"/>
      <c r="R34" s="2"/>
      <c r="S34" s="2"/>
    </row>
    <row r="35" spans="1:19" x14ac:dyDescent="0.3">
      <c r="A35" s="4" t="s">
        <v>18</v>
      </c>
      <c r="B35">
        <v>7</v>
      </c>
      <c r="C35">
        <v>57</v>
      </c>
      <c r="G35" s="2">
        <f t="shared" si="1"/>
        <v>64</v>
      </c>
      <c r="J35" s="3">
        <v>1308</v>
      </c>
      <c r="O35" s="1"/>
      <c r="P35" s="1"/>
      <c r="Q35" s="1"/>
      <c r="R35" s="2"/>
      <c r="S35" s="2"/>
    </row>
    <row r="36" spans="1:19" x14ac:dyDescent="0.3">
      <c r="A36" s="4" t="s">
        <v>19</v>
      </c>
      <c r="B36">
        <v>5</v>
      </c>
      <c r="C36">
        <v>58</v>
      </c>
      <c r="G36" s="2">
        <f t="shared" si="1"/>
        <v>63</v>
      </c>
      <c r="J36" s="3">
        <v>1366</v>
      </c>
      <c r="O36" s="1"/>
      <c r="P36" s="1"/>
      <c r="Q36" s="1"/>
      <c r="R36" s="2"/>
      <c r="S36" s="2"/>
    </row>
    <row r="37" spans="1:19" x14ac:dyDescent="0.3">
      <c r="A37" s="4" t="s">
        <v>20</v>
      </c>
      <c r="B37">
        <v>6</v>
      </c>
      <c r="C37">
        <v>56</v>
      </c>
      <c r="G37" s="2">
        <f t="shared" si="1"/>
        <v>62</v>
      </c>
      <c r="J37" s="3">
        <v>1391</v>
      </c>
      <c r="O37" s="1"/>
      <c r="P37" s="1"/>
      <c r="Q37" s="1"/>
      <c r="R37" s="2"/>
      <c r="S37" s="2"/>
    </row>
    <row r="38" spans="1:19" x14ac:dyDescent="0.3">
      <c r="A38" s="4" t="s">
        <v>21</v>
      </c>
      <c r="B38">
        <v>6</v>
      </c>
      <c r="C38">
        <v>55</v>
      </c>
      <c r="G38" s="2">
        <f t="shared" si="1"/>
        <v>61</v>
      </c>
      <c r="O38" s="1"/>
      <c r="P38" s="1"/>
      <c r="Q38" s="1"/>
      <c r="R38" s="2"/>
      <c r="S38" s="2"/>
    </row>
    <row r="39" spans="1:19" x14ac:dyDescent="0.3">
      <c r="A39" s="4" t="s">
        <v>22</v>
      </c>
      <c r="B39">
        <v>5</v>
      </c>
      <c r="C39">
        <v>58</v>
      </c>
      <c r="G39" s="2">
        <f t="shared" si="1"/>
        <v>63</v>
      </c>
      <c r="J39" s="3">
        <v>1368</v>
      </c>
      <c r="O39" s="1"/>
      <c r="P39" s="1"/>
      <c r="Q39" s="1"/>
      <c r="R39" s="2"/>
      <c r="S39" s="2"/>
    </row>
    <row r="40" spans="1:19" x14ac:dyDescent="0.3">
      <c r="A40" s="4" t="s">
        <v>23</v>
      </c>
      <c r="B40">
        <v>5</v>
      </c>
      <c r="C40">
        <v>58</v>
      </c>
      <c r="G40" s="2">
        <f t="shared" si="1"/>
        <v>63</v>
      </c>
      <c r="O40" s="1"/>
      <c r="P40" s="1"/>
      <c r="Q40" s="1"/>
      <c r="R40" s="2"/>
      <c r="S40" s="2"/>
    </row>
    <row r="41" spans="1:19" x14ac:dyDescent="0.3">
      <c r="A41" s="4" t="s">
        <v>24</v>
      </c>
      <c r="B41">
        <v>6</v>
      </c>
      <c r="C41">
        <v>56</v>
      </c>
      <c r="G41" s="2">
        <f t="shared" si="1"/>
        <v>62</v>
      </c>
      <c r="O41" s="1"/>
      <c r="P41" s="1"/>
      <c r="Q41" s="1"/>
      <c r="R41" s="2"/>
      <c r="S41" s="2"/>
    </row>
    <row r="42" spans="1:19" x14ac:dyDescent="0.3">
      <c r="A42" s="4" t="s">
        <v>25</v>
      </c>
      <c r="B42">
        <v>6</v>
      </c>
      <c r="C42">
        <v>56</v>
      </c>
      <c r="G42" s="2">
        <f t="shared" si="1"/>
        <v>62</v>
      </c>
      <c r="O42" s="1"/>
      <c r="P42" s="1"/>
      <c r="Q42" s="1"/>
      <c r="R42" s="2"/>
      <c r="S42" s="2"/>
    </row>
    <row r="43" spans="1:19" x14ac:dyDescent="0.3">
      <c r="A43" s="4" t="s">
        <v>26</v>
      </c>
      <c r="B43">
        <v>3</v>
      </c>
      <c r="C43">
        <v>56</v>
      </c>
      <c r="G43" s="2">
        <f t="shared" si="1"/>
        <v>59</v>
      </c>
      <c r="O43" s="1"/>
      <c r="P43" s="1"/>
      <c r="Q43" s="1"/>
      <c r="R43" s="2"/>
      <c r="S43" s="2"/>
    </row>
    <row r="44" spans="1:19" hidden="1" x14ac:dyDescent="0.3">
      <c r="A44" s="4" t="s">
        <v>27</v>
      </c>
      <c r="B44">
        <v>7</v>
      </c>
      <c r="C44">
        <v>64</v>
      </c>
      <c r="G44" s="2">
        <f t="shared" si="1"/>
        <v>71</v>
      </c>
      <c r="O44" s="1"/>
      <c r="P44" s="1"/>
      <c r="Q44" s="1"/>
      <c r="R44" s="2"/>
      <c r="S44" s="2"/>
    </row>
    <row r="45" spans="1:19" x14ac:dyDescent="0.3">
      <c r="A45" s="4" t="s">
        <v>28</v>
      </c>
      <c r="B45">
        <v>3</v>
      </c>
      <c r="C45">
        <v>57</v>
      </c>
      <c r="G45" s="2">
        <f t="shared" si="1"/>
        <v>60</v>
      </c>
      <c r="J45" s="3">
        <v>1394</v>
      </c>
      <c r="O45" s="1"/>
      <c r="P45" s="1"/>
      <c r="Q45" s="1"/>
      <c r="R45" s="2"/>
      <c r="S45" s="2"/>
    </row>
    <row r="46" spans="1:19" x14ac:dyDescent="0.3">
      <c r="A46" s="4" t="s">
        <v>29</v>
      </c>
      <c r="B46">
        <v>4</v>
      </c>
      <c r="C46">
        <v>57</v>
      </c>
      <c r="G46" s="2">
        <f t="shared" ref="G46:G59" si="2">B46+C46</f>
        <v>61</v>
      </c>
      <c r="O46" s="1"/>
      <c r="P46" s="1"/>
      <c r="Q46" s="1"/>
      <c r="R46" s="2"/>
      <c r="S46" s="2"/>
    </row>
    <row r="47" spans="1:19" x14ac:dyDescent="0.3">
      <c r="A47" s="4" t="s">
        <v>30</v>
      </c>
      <c r="B47">
        <v>10</v>
      </c>
      <c r="C47">
        <v>66</v>
      </c>
      <c r="G47" s="2">
        <f t="shared" si="2"/>
        <v>76</v>
      </c>
      <c r="O47" s="1"/>
      <c r="P47" s="1"/>
      <c r="Q47" s="1"/>
      <c r="R47" s="2"/>
      <c r="S47" s="2"/>
    </row>
    <row r="48" spans="1:19" x14ac:dyDescent="0.3">
      <c r="A48" s="4" t="s">
        <v>60</v>
      </c>
      <c r="B48">
        <v>2</v>
      </c>
      <c r="C48">
        <v>58</v>
      </c>
      <c r="G48" s="2">
        <f t="shared" si="2"/>
        <v>60</v>
      </c>
      <c r="J48" s="3">
        <v>1402</v>
      </c>
    </row>
    <row r="49" spans="1:14" x14ac:dyDescent="0.3">
      <c r="A49" s="4" t="s">
        <v>61</v>
      </c>
      <c r="B49">
        <v>4</v>
      </c>
      <c r="C49">
        <v>58</v>
      </c>
      <c r="G49" s="2">
        <f t="shared" si="2"/>
        <v>62</v>
      </c>
      <c r="J49" s="3">
        <v>1395</v>
      </c>
      <c r="K49" s="3" t="str">
        <f>_xlfn.IFNA(VLOOKUP(CONCATENATE("s.rule",A49,".tar.gz"),Sheet1!A:F,5,0),"")</f>
        <v/>
      </c>
    </row>
    <row r="50" spans="1:14" x14ac:dyDescent="0.3">
      <c r="A50" s="4" t="s">
        <v>62</v>
      </c>
      <c r="B50">
        <v>4</v>
      </c>
      <c r="C50">
        <v>49</v>
      </c>
      <c r="G50" s="2">
        <f t="shared" si="2"/>
        <v>53</v>
      </c>
      <c r="J50" s="3">
        <v>1361</v>
      </c>
      <c r="K50" s="3" t="str">
        <f>_xlfn.IFNA(VLOOKUP(CONCATENATE("s.rule",A50,".tar.gz"),Sheet1!A:F,5,0),"")</f>
        <v/>
      </c>
    </row>
    <row r="51" spans="1:14" x14ac:dyDescent="0.3">
      <c r="A51" s="4" t="s">
        <v>63</v>
      </c>
      <c r="B51">
        <v>4</v>
      </c>
      <c r="C51">
        <v>48</v>
      </c>
      <c r="G51" s="2">
        <f t="shared" si="2"/>
        <v>52</v>
      </c>
    </row>
    <row r="52" spans="1:14" x14ac:dyDescent="0.3">
      <c r="A52" s="4" t="s">
        <v>64</v>
      </c>
      <c r="B52">
        <v>4</v>
      </c>
      <c r="C52">
        <v>48</v>
      </c>
      <c r="G52" s="2">
        <f t="shared" si="2"/>
        <v>52</v>
      </c>
    </row>
    <row r="53" spans="1:14" x14ac:dyDescent="0.3">
      <c r="A53" s="4">
        <v>441</v>
      </c>
      <c r="B53">
        <v>3</v>
      </c>
      <c r="C53">
        <v>55</v>
      </c>
      <c r="G53" s="2">
        <f t="shared" si="2"/>
        <v>58</v>
      </c>
      <c r="K53" s="3" t="str">
        <f>_xlfn.IFNA(VLOOKUP(CONCATENATE("s.rule",A53,".tar.gz"),Sheet1!A:F,5,0),"")</f>
        <v/>
      </c>
    </row>
    <row r="54" spans="1:14" x14ac:dyDescent="0.3">
      <c r="A54" s="4">
        <v>442</v>
      </c>
      <c r="B54">
        <v>3</v>
      </c>
      <c r="C54">
        <v>54</v>
      </c>
      <c r="G54" s="2">
        <f t="shared" si="2"/>
        <v>57</v>
      </c>
    </row>
    <row r="55" spans="1:14" x14ac:dyDescent="0.3">
      <c r="A55" s="4">
        <v>443</v>
      </c>
      <c r="B55">
        <v>3</v>
      </c>
      <c r="C55">
        <v>47</v>
      </c>
      <c r="E55" s="2">
        <v>63</v>
      </c>
      <c r="G55" s="2">
        <f t="shared" si="2"/>
        <v>50</v>
      </c>
      <c r="J55" s="3">
        <v>1371</v>
      </c>
      <c r="K55" s="3" t="str">
        <f>_xlfn.IFNA(VLOOKUP(CONCATENATE("s.rule",A55,".tar.gz"),Sheet1!A:F,5,0),"")</f>
        <v/>
      </c>
    </row>
    <row r="56" spans="1:14" x14ac:dyDescent="0.3">
      <c r="A56" s="4">
        <v>444</v>
      </c>
      <c r="B56">
        <v>3</v>
      </c>
      <c r="C56">
        <v>54</v>
      </c>
      <c r="D56" s="2">
        <v>60</v>
      </c>
      <c r="G56" s="2">
        <f t="shared" si="2"/>
        <v>57</v>
      </c>
      <c r="J56" s="3">
        <v>1363</v>
      </c>
      <c r="K56" s="3" t="str">
        <f>_xlfn.IFNA(VLOOKUP(CONCATENATE("s.rule",A56,".tar.gz"),Sheet1!A:F,5,0),"")</f>
        <v/>
      </c>
    </row>
    <row r="57" spans="1:14" x14ac:dyDescent="0.3">
      <c r="A57" s="4">
        <v>445</v>
      </c>
      <c r="B57">
        <v>6</v>
      </c>
      <c r="C57" s="2">
        <v>54</v>
      </c>
      <c r="D57" s="2">
        <v>60</v>
      </c>
      <c r="G57" s="2">
        <f t="shared" si="2"/>
        <v>60</v>
      </c>
      <c r="J57" s="3">
        <f>(1392+1428)/2</f>
        <v>1410</v>
      </c>
      <c r="K57" s="3" t="str">
        <f>_xlfn.IFNA(VLOOKUP(CONCATENATE("s.rule",A57,".tar.gz"),Sheet1!A:F,5,0),"")</f>
        <v/>
      </c>
    </row>
    <row r="58" spans="1:14" x14ac:dyDescent="0.3">
      <c r="A58" s="4">
        <v>446</v>
      </c>
      <c r="B58">
        <v>6</v>
      </c>
      <c r="C58">
        <v>55</v>
      </c>
      <c r="D58" s="2">
        <v>60</v>
      </c>
      <c r="G58" s="2">
        <f t="shared" si="2"/>
        <v>61</v>
      </c>
      <c r="J58" s="3">
        <v>1425</v>
      </c>
      <c r="K58" s="3" t="str">
        <f>_xlfn.IFNA(VLOOKUP(CONCATENATE("s.rule",A58,".tar.gz"),Sheet1!A:F,5,0),"")</f>
        <v/>
      </c>
    </row>
    <row r="59" spans="1:14" x14ac:dyDescent="0.3">
      <c r="A59" s="4">
        <v>447</v>
      </c>
      <c r="B59">
        <v>10</v>
      </c>
      <c r="C59">
        <v>64</v>
      </c>
      <c r="D59" s="2">
        <v>80</v>
      </c>
      <c r="G59" s="2">
        <f t="shared" si="2"/>
        <v>74</v>
      </c>
      <c r="J59" s="3">
        <v>1386</v>
      </c>
      <c r="K59" s="3" t="str">
        <f>_xlfn.IFNA(VLOOKUP(CONCATENATE("s.rule",A59,".tar.gz"),Sheet1!A:F,5,0),"")</f>
        <v/>
      </c>
    </row>
    <row r="60" spans="1:14" s="2" customFormat="1" x14ac:dyDescent="0.3">
      <c r="A60" s="4" t="s">
        <v>65</v>
      </c>
      <c r="B60" s="2">
        <v>12</v>
      </c>
      <c r="J60" s="3"/>
      <c r="K60" s="3"/>
      <c r="L60" s="3"/>
      <c r="M60" s="3"/>
      <c r="N60" s="13"/>
    </row>
    <row r="61" spans="1:14" x14ac:dyDescent="0.3">
      <c r="A61" s="4">
        <f>A59+1</f>
        <v>448</v>
      </c>
      <c r="B61">
        <v>10</v>
      </c>
      <c r="C61">
        <v>64</v>
      </c>
      <c r="D61" s="2">
        <v>77</v>
      </c>
      <c r="E61" s="2">
        <v>74</v>
      </c>
      <c r="G61" s="2">
        <f>SUM(B61:E61)</f>
        <v>225</v>
      </c>
      <c r="K61" s="3" t="str">
        <f>_xlfn.IFNA(VLOOKUP(CONCATENATE("s.rule",A61,".tar.gz"),Sheet1!A:F,5,0),"")</f>
        <v/>
      </c>
    </row>
    <row r="62" spans="1:14" x14ac:dyDescent="0.3">
      <c r="A62" s="4">
        <f>A61+1</f>
        <v>449</v>
      </c>
      <c r="B62">
        <v>9</v>
      </c>
      <c r="C62">
        <v>57</v>
      </c>
      <c r="D62" s="2">
        <v>64</v>
      </c>
      <c r="E62" s="2">
        <v>61</v>
      </c>
      <c r="G62" s="2">
        <f t="shared" ref="G62:G65" si="3">SUM(B62:E62)</f>
        <v>191</v>
      </c>
      <c r="K62" s="3" t="str">
        <f>_xlfn.IFNA(VLOOKUP(CONCATENATE("s.rule",A62,".tar.gz"),Sheet1!A:F,5,0),"")</f>
        <v/>
      </c>
    </row>
    <row r="63" spans="1:14" x14ac:dyDescent="0.3">
      <c r="A63" s="4">
        <f>A62+1</f>
        <v>450</v>
      </c>
      <c r="B63">
        <v>5</v>
      </c>
      <c r="C63">
        <v>51</v>
      </c>
      <c r="D63" s="2">
        <v>61</v>
      </c>
      <c r="E63" s="2">
        <v>66</v>
      </c>
      <c r="G63" s="2">
        <f t="shared" si="3"/>
        <v>183</v>
      </c>
      <c r="I63" s="7">
        <f>(600-G63-1)/600</f>
        <v>0.69333333333333336</v>
      </c>
      <c r="J63" s="3">
        <v>1387</v>
      </c>
      <c r="K63" s="3" t="str">
        <f>_xlfn.IFNA(VLOOKUP(CONCATENATE("s.rule",A63,".tar.gz"),Sheet1!A:F,5,0),"")</f>
        <v/>
      </c>
    </row>
    <row r="64" spans="1:14" x14ac:dyDescent="0.3">
      <c r="A64" s="4">
        <f>A63+1</f>
        <v>451</v>
      </c>
      <c r="B64">
        <v>4</v>
      </c>
      <c r="C64">
        <v>53</v>
      </c>
      <c r="D64" s="2">
        <v>58</v>
      </c>
      <c r="E64" s="2">
        <v>58</v>
      </c>
      <c r="G64" s="2">
        <f t="shared" si="3"/>
        <v>173</v>
      </c>
      <c r="I64" s="7">
        <f t="shared" ref="I64:I75" si="4">(600-G64-1)/600</f>
        <v>0.71</v>
      </c>
      <c r="J64" s="3">
        <v>1348</v>
      </c>
      <c r="K64" s="3" t="str">
        <f>_xlfn.IFNA(VLOOKUP(CONCATENATE("s.rule",A64,".tar.gz"),Sheet1!A:F,5,0),"")</f>
        <v/>
      </c>
    </row>
    <row r="65" spans="1:14" s="2" customFormat="1" x14ac:dyDescent="0.3">
      <c r="A65" s="4" t="s">
        <v>66</v>
      </c>
      <c r="B65" s="2">
        <v>2</v>
      </c>
      <c r="C65" s="2">
        <v>49</v>
      </c>
      <c r="D65" s="2">
        <v>64</v>
      </c>
      <c r="E65" s="2">
        <v>61</v>
      </c>
      <c r="G65" s="2">
        <f t="shared" si="3"/>
        <v>176</v>
      </c>
      <c r="I65" s="7">
        <f t="shared" si="4"/>
        <v>0.70499999999999996</v>
      </c>
      <c r="J65" s="3">
        <v>1380</v>
      </c>
      <c r="K65" s="3" t="str">
        <f>_xlfn.IFNA(VLOOKUP(CONCATENATE("s.rule",A65,".tar.gz"),Sheet1!A:F,5,0),"")</f>
        <v/>
      </c>
      <c r="L65" s="3"/>
      <c r="M65" s="3"/>
      <c r="N65" s="13"/>
    </row>
    <row r="66" spans="1:14" x14ac:dyDescent="0.3">
      <c r="A66" s="4">
        <f>A64+1</f>
        <v>452</v>
      </c>
      <c r="B66">
        <v>2</v>
      </c>
      <c r="C66">
        <v>51</v>
      </c>
      <c r="E66" s="2">
        <v>54</v>
      </c>
      <c r="I66" s="7"/>
      <c r="J66" s="3">
        <v>1392</v>
      </c>
      <c r="K66" s="3" t="str">
        <f>_xlfn.IFNA(VLOOKUP(CONCATENATE("s.rule",A66,".tar.gz"),Sheet1!A:F,5,0),"")</f>
        <v/>
      </c>
    </row>
    <row r="67" spans="1:14" x14ac:dyDescent="0.3">
      <c r="A67" s="4">
        <f t="shared" ref="A67:A79" si="5">A66+1</f>
        <v>453</v>
      </c>
      <c r="B67">
        <v>1</v>
      </c>
      <c r="C67">
        <v>51</v>
      </c>
      <c r="D67" s="2">
        <v>57</v>
      </c>
      <c r="E67" s="2">
        <v>53</v>
      </c>
      <c r="G67" s="2">
        <f t="shared" ref="G67:G112" si="6">SUM(B67:E67)</f>
        <v>162</v>
      </c>
      <c r="I67" s="7">
        <f t="shared" si="4"/>
        <v>0.72833333333333339</v>
      </c>
      <c r="J67" s="3">
        <f>(1397+1391)/2</f>
        <v>1394</v>
      </c>
      <c r="K67" s="3" t="str">
        <f>_xlfn.IFNA(VLOOKUP(CONCATENATE("s.rule",A67,".tar.gz"),Sheet1!A:F,5,0),"")</f>
        <v/>
      </c>
    </row>
    <row r="68" spans="1:14" x14ac:dyDescent="0.3">
      <c r="A68" s="4">
        <f t="shared" si="5"/>
        <v>454</v>
      </c>
      <c r="B68">
        <v>1</v>
      </c>
      <c r="C68">
        <v>50</v>
      </c>
      <c r="D68" s="2">
        <v>56</v>
      </c>
      <c r="E68" s="2">
        <v>54</v>
      </c>
      <c r="G68" s="2">
        <f t="shared" si="6"/>
        <v>161</v>
      </c>
      <c r="I68" s="7">
        <f t="shared" si="4"/>
        <v>0.73</v>
      </c>
      <c r="J68" s="3">
        <f>(1418+1355)/2</f>
        <v>1386.5</v>
      </c>
      <c r="K68" s="3" t="str">
        <f>_xlfn.IFNA(VLOOKUP(CONCATENATE("s.rule",A68,".tar.gz"),Sheet1!A:F,5,0),"")</f>
        <v/>
      </c>
      <c r="N68" s="13" t="str">
        <f t="shared" ref="N68:N99" si="7">IF(K68&lt;&gt;"",K68-J68,"")</f>
        <v/>
      </c>
    </row>
    <row r="69" spans="1:14" x14ac:dyDescent="0.3">
      <c r="A69" s="4">
        <f t="shared" si="5"/>
        <v>455</v>
      </c>
      <c r="B69">
        <v>1</v>
      </c>
      <c r="C69">
        <v>54</v>
      </c>
      <c r="D69" s="2">
        <v>60</v>
      </c>
      <c r="E69" s="2">
        <v>54</v>
      </c>
      <c r="G69" s="2">
        <f t="shared" si="6"/>
        <v>169</v>
      </c>
      <c r="I69" s="7">
        <f t="shared" si="4"/>
        <v>0.71666666666666667</v>
      </c>
      <c r="J69" s="3">
        <v>1342.6</v>
      </c>
      <c r="K69" s="3" t="str">
        <f>_xlfn.IFNA(VLOOKUP(CONCATENATE("s.rule",A69,".tar.gz"),Sheet1!A:F,5,0),"")</f>
        <v/>
      </c>
      <c r="N69" s="13" t="str">
        <f t="shared" si="7"/>
        <v/>
      </c>
    </row>
    <row r="70" spans="1:14" x14ac:dyDescent="0.3">
      <c r="A70" s="4">
        <f t="shared" si="5"/>
        <v>456</v>
      </c>
      <c r="B70">
        <v>1</v>
      </c>
      <c r="C70">
        <v>54</v>
      </c>
      <c r="D70" s="2">
        <v>55</v>
      </c>
      <c r="E70" s="2">
        <v>61</v>
      </c>
      <c r="G70" s="2">
        <f t="shared" si="6"/>
        <v>171</v>
      </c>
      <c r="I70" s="7">
        <f t="shared" si="4"/>
        <v>0.71333333333333337</v>
      </c>
      <c r="J70" s="3">
        <v>1381.5</v>
      </c>
      <c r="K70" s="3" t="str">
        <f>_xlfn.IFNA(VLOOKUP(CONCATENATE("s.rule",A70,".tar.gz"),Sheet1!A:F,5,0),"")</f>
        <v/>
      </c>
      <c r="N70" s="13" t="str">
        <f t="shared" si="7"/>
        <v/>
      </c>
    </row>
    <row r="71" spans="1:14" x14ac:dyDescent="0.3">
      <c r="A71" s="4">
        <f t="shared" si="5"/>
        <v>457</v>
      </c>
      <c r="B71">
        <v>1</v>
      </c>
      <c r="C71">
        <v>62</v>
      </c>
      <c r="D71" s="2">
        <v>75</v>
      </c>
      <c r="E71" s="2">
        <v>71</v>
      </c>
      <c r="G71" s="2">
        <f t="shared" si="6"/>
        <v>209</v>
      </c>
      <c r="I71" s="7">
        <f t="shared" si="4"/>
        <v>0.65</v>
      </c>
      <c r="J71" s="3">
        <v>1430</v>
      </c>
      <c r="K71" s="3" t="str">
        <f>_xlfn.IFNA(VLOOKUP(CONCATENATE("s.rule",A71,".tar.gz"),Sheet1!A:F,5,0),"")</f>
        <v/>
      </c>
      <c r="N71" s="13" t="str">
        <f t="shared" si="7"/>
        <v/>
      </c>
    </row>
    <row r="72" spans="1:14" x14ac:dyDescent="0.3">
      <c r="A72" s="4">
        <f t="shared" si="5"/>
        <v>458</v>
      </c>
      <c r="B72">
        <v>1</v>
      </c>
      <c r="C72">
        <v>52</v>
      </c>
      <c r="D72" s="2">
        <v>58</v>
      </c>
      <c r="E72" s="2">
        <v>61</v>
      </c>
      <c r="G72" s="2">
        <f t="shared" si="6"/>
        <v>172</v>
      </c>
      <c r="I72" s="7">
        <f t="shared" si="4"/>
        <v>0.71166666666666667</v>
      </c>
      <c r="J72" s="3">
        <v>1423</v>
      </c>
      <c r="K72" s="3" t="str">
        <f>_xlfn.IFNA(VLOOKUP(CONCATENATE("s.rule",A72,".tar.gz"),Sheet1!A:F,5,0),"")</f>
        <v/>
      </c>
      <c r="N72" s="13" t="str">
        <f t="shared" si="7"/>
        <v/>
      </c>
    </row>
    <row r="73" spans="1:14" x14ac:dyDescent="0.3">
      <c r="A73" s="4">
        <f t="shared" si="5"/>
        <v>459</v>
      </c>
      <c r="B73">
        <v>2</v>
      </c>
      <c r="C73">
        <v>50</v>
      </c>
      <c r="D73" s="2">
        <v>55</v>
      </c>
      <c r="E73" s="2">
        <v>60</v>
      </c>
      <c r="G73" s="2">
        <f t="shared" si="6"/>
        <v>167</v>
      </c>
      <c r="I73" s="7">
        <f t="shared" si="4"/>
        <v>0.72</v>
      </c>
      <c r="J73" s="3">
        <v>1403</v>
      </c>
      <c r="K73" s="3" t="str">
        <f>_xlfn.IFNA(VLOOKUP(CONCATENATE("s.rule",A73,".tar.gz"),Sheet1!A:F,5,0),"")</f>
        <v/>
      </c>
      <c r="N73" s="13" t="str">
        <f t="shared" si="7"/>
        <v/>
      </c>
    </row>
    <row r="74" spans="1:14" x14ac:dyDescent="0.3">
      <c r="A74" s="4">
        <f t="shared" si="5"/>
        <v>460</v>
      </c>
      <c r="B74">
        <v>3</v>
      </c>
      <c r="C74">
        <v>47</v>
      </c>
      <c r="D74" s="2">
        <v>49</v>
      </c>
      <c r="E74" s="2">
        <v>59</v>
      </c>
      <c r="G74" s="2">
        <f t="shared" si="6"/>
        <v>158</v>
      </c>
      <c r="I74" s="7">
        <f t="shared" si="4"/>
        <v>0.73499999999999999</v>
      </c>
      <c r="J74" s="3">
        <v>1376</v>
      </c>
      <c r="K74" s="3" t="str">
        <f>_xlfn.IFNA(VLOOKUP(CONCATENATE("s.rule",A74,".tar.gz"),Sheet1!A:F,5,0),"")</f>
        <v/>
      </c>
      <c r="N74" s="13" t="str">
        <f t="shared" si="7"/>
        <v/>
      </c>
    </row>
    <row r="75" spans="1:14" x14ac:dyDescent="0.3">
      <c r="A75" s="4">
        <f t="shared" si="5"/>
        <v>461</v>
      </c>
      <c r="B75">
        <v>3</v>
      </c>
      <c r="C75">
        <v>47</v>
      </c>
      <c r="D75" s="2">
        <v>49</v>
      </c>
      <c r="E75" s="2">
        <v>59</v>
      </c>
      <c r="G75" s="2">
        <f t="shared" si="6"/>
        <v>158</v>
      </c>
      <c r="I75" s="7">
        <f t="shared" si="4"/>
        <v>0.73499999999999999</v>
      </c>
      <c r="J75" s="3">
        <v>1389.9</v>
      </c>
      <c r="K75" s="3" t="str">
        <f>_xlfn.IFNA(VLOOKUP(CONCATENATE("s.rule",A75,".tar.gz"),Sheet1!A:F,5,0),"")</f>
        <v/>
      </c>
      <c r="N75" s="13" t="str">
        <f t="shared" si="7"/>
        <v/>
      </c>
    </row>
    <row r="76" spans="1:14" x14ac:dyDescent="0.3">
      <c r="A76" s="4">
        <f t="shared" si="5"/>
        <v>462</v>
      </c>
      <c r="B76">
        <v>2</v>
      </c>
      <c r="C76">
        <v>46</v>
      </c>
      <c r="D76" s="2">
        <v>56</v>
      </c>
      <c r="E76" s="2">
        <v>57</v>
      </c>
      <c r="G76" s="2">
        <f t="shared" si="6"/>
        <v>161</v>
      </c>
      <c r="N76" s="13" t="str">
        <f t="shared" si="7"/>
        <v/>
      </c>
    </row>
    <row r="77" spans="1:14" x14ac:dyDescent="0.3">
      <c r="A77" s="4">
        <f t="shared" si="5"/>
        <v>463</v>
      </c>
      <c r="B77">
        <v>1</v>
      </c>
      <c r="C77">
        <v>45</v>
      </c>
      <c r="D77" s="2">
        <v>61</v>
      </c>
      <c r="E77" s="2">
        <v>54</v>
      </c>
      <c r="G77" s="2">
        <f t="shared" si="6"/>
        <v>161</v>
      </c>
      <c r="I77" s="7">
        <f t="shared" ref="I77:I78" si="8">(600-G77-1)/600</f>
        <v>0.73</v>
      </c>
      <c r="J77" s="3">
        <v>1390.1</v>
      </c>
      <c r="K77" s="3" t="str">
        <f>_xlfn.IFNA(VLOOKUP(CONCATENATE("s.rule",A77,".tar.gz"),Sheet1!A:F,5,0),"")</f>
        <v/>
      </c>
      <c r="N77" s="13" t="str">
        <f t="shared" si="7"/>
        <v/>
      </c>
    </row>
    <row r="78" spans="1:14" x14ac:dyDescent="0.3">
      <c r="A78" s="4">
        <f t="shared" si="5"/>
        <v>464</v>
      </c>
      <c r="B78">
        <v>6</v>
      </c>
      <c r="C78">
        <v>55</v>
      </c>
      <c r="D78" s="2">
        <v>55</v>
      </c>
      <c r="E78" s="2">
        <v>60</v>
      </c>
      <c r="G78" s="2">
        <f t="shared" si="6"/>
        <v>176</v>
      </c>
      <c r="I78" s="7">
        <f t="shared" si="8"/>
        <v>0.70499999999999996</v>
      </c>
      <c r="J78" s="3">
        <v>1393.6</v>
      </c>
      <c r="K78" s="3" t="str">
        <f>_xlfn.IFNA(VLOOKUP(CONCATENATE("s.rule",A78,".tar.gz"),Sheet1!A:F,5,0),"")</f>
        <v/>
      </c>
      <c r="N78" s="13" t="str">
        <f t="shared" si="7"/>
        <v/>
      </c>
    </row>
    <row r="79" spans="1:14" x14ac:dyDescent="0.3">
      <c r="A79" s="4">
        <f t="shared" si="5"/>
        <v>465</v>
      </c>
      <c r="B79">
        <v>5</v>
      </c>
      <c r="C79">
        <v>54</v>
      </c>
      <c r="D79" s="2">
        <v>58</v>
      </c>
      <c r="E79" s="2">
        <v>61</v>
      </c>
      <c r="G79" s="2">
        <f t="shared" si="6"/>
        <v>178</v>
      </c>
      <c r="N79" s="13" t="str">
        <f t="shared" si="7"/>
        <v/>
      </c>
    </row>
    <row r="80" spans="1:14" x14ac:dyDescent="0.3">
      <c r="A80" s="4" t="s">
        <v>69</v>
      </c>
      <c r="B80">
        <v>2</v>
      </c>
      <c r="C80">
        <v>48</v>
      </c>
      <c r="D80" s="2">
        <v>60</v>
      </c>
      <c r="E80" s="2">
        <v>58</v>
      </c>
      <c r="G80" s="2">
        <f t="shared" si="6"/>
        <v>168</v>
      </c>
      <c r="N80" s="13" t="str">
        <f t="shared" si="7"/>
        <v/>
      </c>
    </row>
    <row r="81" spans="1:14" x14ac:dyDescent="0.3">
      <c r="A81" s="4">
        <v>466</v>
      </c>
      <c r="B81">
        <v>3</v>
      </c>
      <c r="C81">
        <v>54</v>
      </c>
      <c r="D81" s="2">
        <v>51</v>
      </c>
      <c r="E81" s="2">
        <v>58</v>
      </c>
      <c r="G81" s="2">
        <f t="shared" si="6"/>
        <v>166</v>
      </c>
      <c r="I81" s="7">
        <f t="shared" ref="I81:I83" si="9">(600-G81-1)/600</f>
        <v>0.72166666666666668</v>
      </c>
      <c r="J81" s="3">
        <v>1377.2</v>
      </c>
      <c r="K81" s="3" t="str">
        <f>_xlfn.IFNA(VLOOKUP(CONCATENATE("s.rule",A81,".tar.gz"),Sheet1!A:F,5,0),"")</f>
        <v/>
      </c>
      <c r="N81" s="13" t="str">
        <f t="shared" si="7"/>
        <v/>
      </c>
    </row>
    <row r="82" spans="1:14" s="2" customFormat="1" x14ac:dyDescent="0.3">
      <c r="A82" s="4" t="s">
        <v>71</v>
      </c>
      <c r="B82" s="2">
        <v>4</v>
      </c>
      <c r="C82" s="2">
        <v>45</v>
      </c>
      <c r="D82" s="2">
        <v>53</v>
      </c>
      <c r="E82" s="2">
        <v>55</v>
      </c>
      <c r="G82" s="2">
        <f t="shared" si="6"/>
        <v>157</v>
      </c>
      <c r="I82" s="7">
        <f t="shared" si="9"/>
        <v>0.73666666666666669</v>
      </c>
      <c r="J82" s="3">
        <v>1380.4</v>
      </c>
      <c r="K82" s="3" t="str">
        <f>_xlfn.IFNA(VLOOKUP(CONCATENATE("s.rule",A82,".tar.gz"),Sheet1!A:F,5,0),"")</f>
        <v/>
      </c>
      <c r="L82" s="3"/>
      <c r="M82" s="3"/>
      <c r="N82" s="13" t="str">
        <f t="shared" si="7"/>
        <v/>
      </c>
    </row>
    <row r="83" spans="1:14" x14ac:dyDescent="0.3">
      <c r="A83" s="4">
        <v>467</v>
      </c>
      <c r="B83">
        <v>3</v>
      </c>
      <c r="C83">
        <v>49</v>
      </c>
      <c r="D83" s="2">
        <v>53</v>
      </c>
      <c r="E83" s="2">
        <v>62</v>
      </c>
      <c r="G83" s="2">
        <f t="shared" si="6"/>
        <v>167</v>
      </c>
      <c r="I83" s="7">
        <f t="shared" si="9"/>
        <v>0.72</v>
      </c>
      <c r="J83" s="3">
        <v>1367.4</v>
      </c>
      <c r="K83" s="3" t="str">
        <f>_xlfn.IFNA(VLOOKUP(CONCATENATE("s.rule",A83,".tar.gz"),Sheet1!A:F,5,0),"")</f>
        <v/>
      </c>
      <c r="N83" s="13" t="str">
        <f t="shared" si="7"/>
        <v/>
      </c>
    </row>
    <row r="84" spans="1:14" x14ac:dyDescent="0.3">
      <c r="A84" s="4" t="s">
        <v>72</v>
      </c>
      <c r="B84">
        <v>5</v>
      </c>
      <c r="C84">
        <v>47</v>
      </c>
      <c r="D84" s="2">
        <v>53</v>
      </c>
      <c r="E84" s="2">
        <v>56</v>
      </c>
      <c r="G84" s="2">
        <f t="shared" si="6"/>
        <v>161</v>
      </c>
      <c r="N84" s="13" t="str">
        <f t="shared" si="7"/>
        <v/>
      </c>
    </row>
    <row r="85" spans="1:14" x14ac:dyDescent="0.3">
      <c r="A85" s="4">
        <v>468</v>
      </c>
      <c r="B85">
        <v>2</v>
      </c>
      <c r="C85">
        <v>46</v>
      </c>
      <c r="D85" s="2">
        <v>54</v>
      </c>
      <c r="E85" s="2">
        <v>61</v>
      </c>
      <c r="G85" s="2">
        <f t="shared" si="6"/>
        <v>163</v>
      </c>
      <c r="I85" s="7">
        <f>(600-G85-1)/600</f>
        <v>0.72666666666666668</v>
      </c>
      <c r="J85" s="3">
        <v>1354.5</v>
      </c>
      <c r="K85" s="3" t="str">
        <f>_xlfn.IFNA(VLOOKUP(CONCATENATE("s.rule",A85,".tar.gz"),Sheet1!A:F,5,0),"")</f>
        <v/>
      </c>
      <c r="N85" s="13" t="str">
        <f t="shared" si="7"/>
        <v/>
      </c>
    </row>
    <row r="86" spans="1:14" x14ac:dyDescent="0.3">
      <c r="A86" s="4">
        <v>469</v>
      </c>
      <c r="B86">
        <v>2</v>
      </c>
      <c r="C86">
        <v>48</v>
      </c>
      <c r="D86" s="2">
        <v>55</v>
      </c>
      <c r="E86" s="2">
        <v>58</v>
      </c>
      <c r="G86" s="2">
        <f t="shared" si="6"/>
        <v>163</v>
      </c>
      <c r="N86" s="13" t="str">
        <f t="shared" si="7"/>
        <v/>
      </c>
    </row>
    <row r="87" spans="1:14" x14ac:dyDescent="0.3">
      <c r="A87" s="4">
        <v>470</v>
      </c>
      <c r="B87">
        <v>2</v>
      </c>
      <c r="C87">
        <v>48</v>
      </c>
      <c r="D87" s="2">
        <v>54</v>
      </c>
      <c r="E87" s="2">
        <v>56</v>
      </c>
      <c r="G87" s="2">
        <f t="shared" si="6"/>
        <v>160</v>
      </c>
      <c r="I87" s="7">
        <f t="shared" ref="I87:I92" si="10">(600-G87-1)/600</f>
        <v>0.73166666666666669</v>
      </c>
      <c r="J87" s="3">
        <v>1393.2</v>
      </c>
      <c r="K87" s="3" t="str">
        <f>_xlfn.IFNA(VLOOKUP(CONCATENATE("s.rule",A87,".tar.gz"),Sheet1!A:F,5,0),"")</f>
        <v/>
      </c>
      <c r="N87" s="13" t="str">
        <f t="shared" si="7"/>
        <v/>
      </c>
    </row>
    <row r="88" spans="1:14" x14ac:dyDescent="0.3">
      <c r="A88" s="4">
        <v>471</v>
      </c>
      <c r="B88">
        <v>5</v>
      </c>
      <c r="C88">
        <v>48</v>
      </c>
      <c r="D88" s="2">
        <v>51</v>
      </c>
      <c r="E88" s="2">
        <v>54</v>
      </c>
      <c r="G88" s="2">
        <f t="shared" si="6"/>
        <v>158</v>
      </c>
      <c r="I88" s="7">
        <f t="shared" si="10"/>
        <v>0.73499999999999999</v>
      </c>
      <c r="J88" s="3">
        <v>1381.1</v>
      </c>
      <c r="K88" s="3" t="str">
        <f>_xlfn.IFNA(VLOOKUP(CONCATENATE("s.rule",A88,".tar.gz"),Sheet1!A:F,5,0),"")</f>
        <v/>
      </c>
      <c r="N88" s="13" t="str">
        <f t="shared" si="7"/>
        <v/>
      </c>
    </row>
    <row r="89" spans="1:14" x14ac:dyDescent="0.3">
      <c r="A89" s="4">
        <f t="shared" ref="A89:A90" si="11">A88+1</f>
        <v>472</v>
      </c>
      <c r="B89">
        <v>5</v>
      </c>
      <c r="C89">
        <v>50</v>
      </c>
      <c r="D89" s="2">
        <v>53</v>
      </c>
      <c r="E89" s="2">
        <v>56</v>
      </c>
      <c r="G89" s="2">
        <f t="shared" si="6"/>
        <v>164</v>
      </c>
      <c r="I89" s="7">
        <f t="shared" si="10"/>
        <v>0.72499999999999998</v>
      </c>
      <c r="J89" s="3">
        <v>1408.5</v>
      </c>
      <c r="K89" s="3" t="str">
        <f>_xlfn.IFNA(VLOOKUP(CONCATENATE("s.rule",A89,".tar.gz"),Sheet1!A:F,5,0),"")</f>
        <v/>
      </c>
      <c r="N89" s="13" t="str">
        <f t="shared" si="7"/>
        <v/>
      </c>
    </row>
    <row r="90" spans="1:14" x14ac:dyDescent="0.3">
      <c r="A90" s="4">
        <f t="shared" si="11"/>
        <v>473</v>
      </c>
      <c r="B90">
        <v>5</v>
      </c>
      <c r="C90">
        <v>50</v>
      </c>
      <c r="D90" s="2">
        <v>53</v>
      </c>
      <c r="E90" s="2">
        <v>55</v>
      </c>
      <c r="G90" s="2">
        <f>SUM(B90:E90)</f>
        <v>163</v>
      </c>
      <c r="I90" s="7">
        <f t="shared" si="10"/>
        <v>0.72666666666666668</v>
      </c>
      <c r="J90" s="3">
        <v>1443.2</v>
      </c>
      <c r="K90" s="3" t="str">
        <f>_xlfn.IFNA(VLOOKUP(CONCATENATE("s.rule",A90,".tar.gz"),Sheet1!A:F,5,0),"")</f>
        <v/>
      </c>
      <c r="N90" s="13" t="str">
        <f t="shared" si="7"/>
        <v/>
      </c>
    </row>
    <row r="91" spans="1:14" x14ac:dyDescent="0.3">
      <c r="A91" s="4">
        <v>474</v>
      </c>
      <c r="B91">
        <v>6</v>
      </c>
      <c r="C91">
        <v>48</v>
      </c>
      <c r="D91" s="2">
        <v>51</v>
      </c>
      <c r="E91" s="2">
        <v>53</v>
      </c>
      <c r="G91" s="2">
        <f>SUM(B91:E91)</f>
        <v>158</v>
      </c>
      <c r="I91" s="7">
        <f t="shared" si="10"/>
        <v>0.73499999999999999</v>
      </c>
      <c r="J91" s="3">
        <v>1356.2</v>
      </c>
      <c r="K91" s="3" t="str">
        <f>_xlfn.IFNA(VLOOKUP(CONCATENATE("s.rule",A91,".tar.gz"),Sheet1!A:F,5,0),"")</f>
        <v/>
      </c>
      <c r="N91" s="13" t="str">
        <f t="shared" si="7"/>
        <v/>
      </c>
    </row>
    <row r="92" spans="1:14" x14ac:dyDescent="0.3">
      <c r="A92" s="4">
        <v>475</v>
      </c>
      <c r="B92">
        <v>7</v>
      </c>
      <c r="C92">
        <v>46</v>
      </c>
      <c r="D92" s="2">
        <v>57</v>
      </c>
      <c r="E92" s="2">
        <v>52</v>
      </c>
      <c r="G92" s="2">
        <f t="shared" si="6"/>
        <v>162</v>
      </c>
      <c r="I92" s="7">
        <f t="shared" si="10"/>
        <v>0.72833333333333339</v>
      </c>
      <c r="J92" s="3">
        <v>1409.2</v>
      </c>
      <c r="K92" s="3" t="str">
        <f>_xlfn.IFNA(VLOOKUP(CONCATENATE("s.rule",A92,".tar.gz"),Sheet1!A:F,5,0),"")</f>
        <v/>
      </c>
      <c r="N92" s="13" t="str">
        <f t="shared" si="7"/>
        <v/>
      </c>
    </row>
    <row r="93" spans="1:14" x14ac:dyDescent="0.3">
      <c r="A93" s="4">
        <v>476</v>
      </c>
      <c r="B93">
        <v>5</v>
      </c>
      <c r="C93">
        <v>48</v>
      </c>
      <c r="D93" s="2">
        <v>59</v>
      </c>
      <c r="E93" s="2">
        <v>67</v>
      </c>
      <c r="G93" s="2">
        <f t="shared" si="6"/>
        <v>179</v>
      </c>
      <c r="N93" s="13" t="str">
        <f t="shared" si="7"/>
        <v/>
      </c>
    </row>
    <row r="94" spans="1:14" x14ac:dyDescent="0.3">
      <c r="A94" s="4">
        <v>477</v>
      </c>
      <c r="B94">
        <v>5</v>
      </c>
      <c r="C94">
        <v>44</v>
      </c>
      <c r="D94" s="2">
        <v>55</v>
      </c>
      <c r="E94" s="2">
        <v>65</v>
      </c>
      <c r="G94" s="2">
        <f t="shared" si="6"/>
        <v>169</v>
      </c>
      <c r="I94" s="7">
        <f t="shared" ref="I94:I97" si="12">(600-G94-1)/600</f>
        <v>0.71666666666666667</v>
      </c>
      <c r="J94" s="3">
        <v>1394.7</v>
      </c>
      <c r="K94" s="3" t="str">
        <f>_xlfn.IFNA(VLOOKUP(CONCATENATE("s.rule",A94,".tar.gz"),Sheet1!A:F,5,0),"")</f>
        <v/>
      </c>
      <c r="N94" s="13" t="str">
        <f t="shared" si="7"/>
        <v/>
      </c>
    </row>
    <row r="95" spans="1:14" x14ac:dyDescent="0.3">
      <c r="A95" s="4">
        <v>478</v>
      </c>
      <c r="B95">
        <v>5</v>
      </c>
      <c r="C95">
        <v>47</v>
      </c>
      <c r="D95" s="2">
        <v>54</v>
      </c>
      <c r="E95" s="2">
        <v>58</v>
      </c>
      <c r="G95" s="2">
        <f t="shared" si="6"/>
        <v>164</v>
      </c>
      <c r="I95" s="7">
        <f t="shared" si="12"/>
        <v>0.72499999999999998</v>
      </c>
      <c r="J95" s="3">
        <v>1402.6</v>
      </c>
      <c r="K95" s="3" t="str">
        <f>_xlfn.IFNA(VLOOKUP(CONCATENATE("s.rule",A95,".tar.gz"),Sheet1!A:F,5,0),"")</f>
        <v/>
      </c>
      <c r="N95" s="13" t="str">
        <f t="shared" si="7"/>
        <v/>
      </c>
    </row>
    <row r="96" spans="1:14" x14ac:dyDescent="0.3">
      <c r="A96" s="4">
        <v>479</v>
      </c>
      <c r="B96">
        <v>4</v>
      </c>
      <c r="C96">
        <v>47</v>
      </c>
      <c r="D96" s="2">
        <v>54</v>
      </c>
      <c r="E96" s="2">
        <v>58</v>
      </c>
      <c r="G96" s="2">
        <f t="shared" si="6"/>
        <v>163</v>
      </c>
      <c r="I96" s="7">
        <f t="shared" si="12"/>
        <v>0.72666666666666668</v>
      </c>
      <c r="J96" s="3">
        <v>1406.1</v>
      </c>
      <c r="K96" s="3" t="str">
        <f>_xlfn.IFNA(VLOOKUP(CONCATENATE("s.rule",A96,".tar.gz"),Sheet1!A:F,5,0),"")</f>
        <v/>
      </c>
      <c r="N96" s="13" t="str">
        <f t="shared" si="7"/>
        <v/>
      </c>
    </row>
    <row r="97" spans="1:14" x14ac:dyDescent="0.3">
      <c r="A97" s="4">
        <v>480</v>
      </c>
      <c r="B97">
        <v>4</v>
      </c>
      <c r="C97">
        <v>50</v>
      </c>
      <c r="D97" s="2">
        <v>50</v>
      </c>
      <c r="E97" s="2">
        <v>56</v>
      </c>
      <c r="G97" s="2">
        <f t="shared" si="6"/>
        <v>160</v>
      </c>
      <c r="I97" s="7">
        <f t="shared" si="12"/>
        <v>0.73166666666666669</v>
      </c>
      <c r="J97" s="3">
        <v>1387.1</v>
      </c>
      <c r="K97" s="3" t="str">
        <f>_xlfn.IFNA(VLOOKUP(CONCATENATE("s.rule",A97,".tar.gz"),Sheet1!A:F,5,0),"")</f>
        <v/>
      </c>
      <c r="N97" s="13" t="str">
        <f t="shared" si="7"/>
        <v/>
      </c>
    </row>
    <row r="98" spans="1:14" x14ac:dyDescent="0.3">
      <c r="A98" s="4">
        <v>481</v>
      </c>
      <c r="B98">
        <v>3</v>
      </c>
      <c r="C98">
        <v>49</v>
      </c>
      <c r="D98" s="2">
        <v>51</v>
      </c>
      <c r="E98" s="2">
        <v>54</v>
      </c>
      <c r="G98" s="2">
        <f t="shared" si="6"/>
        <v>157</v>
      </c>
      <c r="N98" s="13" t="str">
        <f t="shared" si="7"/>
        <v/>
      </c>
    </row>
    <row r="99" spans="1:14" x14ac:dyDescent="0.3">
      <c r="A99" s="4">
        <v>482</v>
      </c>
      <c r="B99">
        <v>4</v>
      </c>
      <c r="C99">
        <v>55</v>
      </c>
      <c r="D99" s="2">
        <v>52</v>
      </c>
      <c r="E99" s="2">
        <v>53</v>
      </c>
      <c r="G99" s="2">
        <f t="shared" si="6"/>
        <v>164</v>
      </c>
      <c r="I99" s="7">
        <f t="shared" ref="I99:I101" si="13">(600-G99-1)/600</f>
        <v>0.72499999999999998</v>
      </c>
      <c r="J99" s="3">
        <v>1362.5</v>
      </c>
      <c r="K99" s="3" t="str">
        <f>_xlfn.IFNA(VLOOKUP(CONCATENATE("s.rule",A99,".tar.gz"),Sheet1!A:F,5,0),"")</f>
        <v/>
      </c>
      <c r="N99" s="13" t="str">
        <f t="shared" si="7"/>
        <v/>
      </c>
    </row>
    <row r="100" spans="1:14" x14ac:dyDescent="0.3">
      <c r="A100" s="4">
        <v>483</v>
      </c>
      <c r="B100">
        <v>3</v>
      </c>
      <c r="C100">
        <v>44</v>
      </c>
      <c r="D100" s="2">
        <v>58</v>
      </c>
      <c r="E100" s="2">
        <v>54</v>
      </c>
      <c r="G100" s="2">
        <f t="shared" si="6"/>
        <v>159</v>
      </c>
      <c r="I100" s="7">
        <f t="shared" si="13"/>
        <v>0.73333333333333328</v>
      </c>
      <c r="J100" s="3">
        <v>1429.3</v>
      </c>
      <c r="K100" s="3" t="str">
        <f>_xlfn.IFNA(VLOOKUP(CONCATENATE("s.rule",A100,".tar.gz"),Sheet1!A:F,5,0),"")</f>
        <v/>
      </c>
      <c r="N100" s="13" t="str">
        <f t="shared" ref="N100:N131" si="14">IF(K100&lt;&gt;"",K100-J100,"")</f>
        <v/>
      </c>
    </row>
    <row r="101" spans="1:14" x14ac:dyDescent="0.3">
      <c r="A101" s="4">
        <v>484</v>
      </c>
      <c r="B101">
        <v>3</v>
      </c>
      <c r="C101">
        <v>40</v>
      </c>
      <c r="D101" s="2">
        <v>50</v>
      </c>
      <c r="E101" s="2">
        <v>52</v>
      </c>
      <c r="G101" s="2">
        <f t="shared" si="6"/>
        <v>145</v>
      </c>
      <c r="I101" s="7">
        <f t="shared" si="13"/>
        <v>0.75666666666666671</v>
      </c>
      <c r="J101" s="3">
        <v>1466</v>
      </c>
      <c r="K101" s="3" t="str">
        <f>_xlfn.IFNA(VLOOKUP(CONCATENATE("s.rule",A101,".tar.gz"),Sheet1!A:F,5,0),"")</f>
        <v/>
      </c>
      <c r="N101" s="13" t="str">
        <f t="shared" si="14"/>
        <v/>
      </c>
    </row>
    <row r="102" spans="1:14" x14ac:dyDescent="0.3">
      <c r="A102" s="4">
        <v>485</v>
      </c>
      <c r="B102">
        <v>3</v>
      </c>
      <c r="C102">
        <v>40</v>
      </c>
      <c r="D102" s="2">
        <v>50</v>
      </c>
      <c r="E102" s="2">
        <v>56</v>
      </c>
      <c r="G102" s="2">
        <f t="shared" si="6"/>
        <v>149</v>
      </c>
      <c r="N102" s="13" t="str">
        <f t="shared" si="14"/>
        <v/>
      </c>
    </row>
    <row r="103" spans="1:14" x14ac:dyDescent="0.3">
      <c r="A103" s="4">
        <v>486</v>
      </c>
      <c r="B103">
        <v>3</v>
      </c>
      <c r="C103">
        <v>41</v>
      </c>
      <c r="D103" s="2">
        <v>49</v>
      </c>
      <c r="E103" s="2">
        <v>60</v>
      </c>
      <c r="G103" s="2">
        <f t="shared" si="6"/>
        <v>153</v>
      </c>
      <c r="N103" s="13" t="str">
        <f t="shared" si="14"/>
        <v/>
      </c>
    </row>
    <row r="104" spans="1:14" x14ac:dyDescent="0.3">
      <c r="A104" s="4">
        <v>487</v>
      </c>
      <c r="B104">
        <v>3</v>
      </c>
      <c r="C104">
        <v>46</v>
      </c>
      <c r="D104" s="2">
        <v>49</v>
      </c>
      <c r="E104" s="2">
        <v>61</v>
      </c>
      <c r="G104" s="2">
        <f t="shared" si="6"/>
        <v>159</v>
      </c>
      <c r="I104" s="7">
        <f t="shared" ref="I104:I105" si="15">(600-G104-1)/600</f>
        <v>0.73333333333333328</v>
      </c>
      <c r="K104" s="3" t="str">
        <f>_xlfn.IFNA(VLOOKUP(CONCATENATE("s.rule",A104,".tar.gz"),Sheet1!A:F,5,0),"")</f>
        <v/>
      </c>
      <c r="N104" s="13" t="str">
        <f t="shared" si="14"/>
        <v/>
      </c>
    </row>
    <row r="105" spans="1:14" x14ac:dyDescent="0.3">
      <c r="A105" s="4">
        <v>488</v>
      </c>
      <c r="B105">
        <v>2</v>
      </c>
      <c r="C105">
        <v>41</v>
      </c>
      <c r="D105" s="2">
        <v>51</v>
      </c>
      <c r="E105" s="2">
        <v>58</v>
      </c>
      <c r="G105" s="2">
        <f t="shared" si="6"/>
        <v>152</v>
      </c>
      <c r="I105" s="7">
        <f t="shared" si="15"/>
        <v>0.745</v>
      </c>
      <c r="K105" s="3" t="str">
        <f>_xlfn.IFNA(VLOOKUP(CONCATENATE("s.rule",A105,".tar.gz"),Sheet1!A:F,5,0),"")</f>
        <v/>
      </c>
      <c r="N105" s="13" t="str">
        <f t="shared" si="14"/>
        <v/>
      </c>
    </row>
    <row r="106" spans="1:14" s="2" customFormat="1" x14ac:dyDescent="0.3">
      <c r="A106" s="4" t="s">
        <v>74</v>
      </c>
      <c r="B106" s="2">
        <v>3</v>
      </c>
      <c r="C106" s="2">
        <v>43</v>
      </c>
      <c r="D106" s="2">
        <v>54</v>
      </c>
      <c r="E106" s="2">
        <v>58</v>
      </c>
      <c r="G106" s="2">
        <f t="shared" si="6"/>
        <v>158</v>
      </c>
      <c r="J106" s="3"/>
      <c r="K106" s="3"/>
      <c r="L106" s="3"/>
      <c r="M106" s="3"/>
      <c r="N106" s="13" t="str">
        <f t="shared" si="14"/>
        <v/>
      </c>
    </row>
    <row r="107" spans="1:14" x14ac:dyDescent="0.3">
      <c r="A107" s="4" t="s">
        <v>75</v>
      </c>
      <c r="B107">
        <v>2</v>
      </c>
      <c r="C107">
        <v>41</v>
      </c>
      <c r="D107" s="2">
        <v>52</v>
      </c>
      <c r="E107" s="2">
        <v>60</v>
      </c>
      <c r="G107" s="2">
        <f t="shared" si="6"/>
        <v>155</v>
      </c>
      <c r="N107" s="13" t="str">
        <f t="shared" si="14"/>
        <v/>
      </c>
    </row>
    <row r="108" spans="1:14" x14ac:dyDescent="0.3">
      <c r="A108" s="4" t="s">
        <v>73</v>
      </c>
      <c r="B108">
        <v>2</v>
      </c>
      <c r="C108">
        <v>52</v>
      </c>
      <c r="D108" s="2">
        <v>48</v>
      </c>
      <c r="E108" s="2">
        <v>57</v>
      </c>
      <c r="G108" s="2">
        <f t="shared" si="6"/>
        <v>159</v>
      </c>
      <c r="I108" s="7">
        <f>(600-G108-1)/600</f>
        <v>0.73333333333333328</v>
      </c>
      <c r="K108" s="3" t="str">
        <f>_xlfn.IFNA(VLOOKUP(CONCATENATE("s.rule",A108,".tar.gz"),Sheet1!A:F,5,0),"")</f>
        <v/>
      </c>
      <c r="N108" s="13" t="str">
        <f t="shared" si="14"/>
        <v/>
      </c>
    </row>
    <row r="109" spans="1:14" x14ac:dyDescent="0.3">
      <c r="A109" s="4" t="s">
        <v>76</v>
      </c>
      <c r="B109">
        <v>4</v>
      </c>
      <c r="C109">
        <v>43</v>
      </c>
      <c r="D109" s="2">
        <v>55</v>
      </c>
      <c r="E109" s="2">
        <v>59</v>
      </c>
      <c r="G109" s="2">
        <f t="shared" si="6"/>
        <v>161</v>
      </c>
      <c r="N109" s="13" t="str">
        <f t="shared" si="14"/>
        <v/>
      </c>
    </row>
    <row r="110" spans="1:14" x14ac:dyDescent="0.3">
      <c r="A110" s="4">
        <v>489</v>
      </c>
      <c r="B110">
        <v>2</v>
      </c>
      <c r="C110">
        <v>44</v>
      </c>
      <c r="D110" s="2">
        <v>53</v>
      </c>
      <c r="E110" s="2">
        <v>60</v>
      </c>
      <c r="G110" s="2">
        <f t="shared" si="6"/>
        <v>159</v>
      </c>
      <c r="I110" s="7">
        <f t="shared" ref="I110:I115" si="16">(600-G110-1)/600</f>
        <v>0.73333333333333328</v>
      </c>
      <c r="J110" s="3">
        <v>1373.6</v>
      </c>
      <c r="K110" s="3" t="str">
        <f>_xlfn.IFNA(VLOOKUP(CONCATENATE("s.rule",A110,".tar.gz"),Sheet1!A:F,5,0),"")</f>
        <v/>
      </c>
      <c r="N110" s="13" t="str">
        <f t="shared" si="14"/>
        <v/>
      </c>
    </row>
    <row r="111" spans="1:14" x14ac:dyDescent="0.3">
      <c r="A111" s="4">
        <v>490</v>
      </c>
      <c r="B111" s="2">
        <v>4</v>
      </c>
      <c r="C111">
        <v>47</v>
      </c>
      <c r="D111" s="2">
        <v>52</v>
      </c>
      <c r="E111" s="2">
        <v>58</v>
      </c>
      <c r="G111" s="2">
        <f t="shared" si="6"/>
        <v>161</v>
      </c>
      <c r="I111" s="7">
        <f t="shared" si="16"/>
        <v>0.73</v>
      </c>
      <c r="J111" s="3">
        <v>1359.7</v>
      </c>
      <c r="K111" s="3" t="str">
        <f>_xlfn.IFNA(VLOOKUP(CONCATENATE("s.rule",A111,".tar.gz"),Sheet1!A:F,5,0),"")</f>
        <v/>
      </c>
      <c r="N111" s="13" t="str">
        <f t="shared" si="14"/>
        <v/>
      </c>
    </row>
    <row r="112" spans="1:14" x14ac:dyDescent="0.3">
      <c r="A112" s="4">
        <v>491</v>
      </c>
      <c r="B112" s="2">
        <v>2</v>
      </c>
      <c r="C112">
        <v>39</v>
      </c>
      <c r="D112" s="2">
        <v>41</v>
      </c>
      <c r="E112" s="2">
        <v>49</v>
      </c>
      <c r="G112" s="2">
        <f t="shared" si="6"/>
        <v>131</v>
      </c>
      <c r="I112" s="7">
        <f t="shared" si="16"/>
        <v>0.78</v>
      </c>
      <c r="J112" s="3">
        <v>1410.5</v>
      </c>
      <c r="K112" s="3" t="str">
        <f>_xlfn.IFNA(VLOOKUP(CONCATENATE("s.rule",A112,".tar.gz"),Sheet1!A:F,5,0),"")</f>
        <v/>
      </c>
      <c r="N112" s="13" t="str">
        <f t="shared" si="14"/>
        <v/>
      </c>
    </row>
    <row r="113" spans="1:14" x14ac:dyDescent="0.3">
      <c r="A113" s="4">
        <v>492</v>
      </c>
      <c r="B113">
        <v>2</v>
      </c>
      <c r="C113">
        <v>38</v>
      </c>
      <c r="D113" s="2">
        <v>47</v>
      </c>
      <c r="E113" s="2">
        <v>54</v>
      </c>
      <c r="G113" s="2">
        <f t="shared" ref="G113:G140" si="17">SUM(B113:E113)</f>
        <v>141</v>
      </c>
      <c r="I113" s="7">
        <f t="shared" si="16"/>
        <v>0.76333333333333331</v>
      </c>
      <c r="J113" s="3">
        <v>1411.2</v>
      </c>
      <c r="L113" s="3" t="str">
        <f>IFERROR(AVERAGEIF(Sheet1!$A$1:$A$100,CONCATENATE("s.rule",A113,".tar.gz"),Sheet1!$E$1:$E$100),"")</f>
        <v/>
      </c>
      <c r="N113" s="13" t="str">
        <f t="shared" si="14"/>
        <v/>
      </c>
    </row>
    <row r="114" spans="1:14" x14ac:dyDescent="0.3">
      <c r="A114" s="4">
        <v>493</v>
      </c>
      <c r="B114">
        <v>2</v>
      </c>
      <c r="C114">
        <v>42</v>
      </c>
      <c r="D114" s="2">
        <v>46</v>
      </c>
      <c r="E114" s="2">
        <v>53</v>
      </c>
      <c r="G114" s="2">
        <f t="shared" si="17"/>
        <v>143</v>
      </c>
      <c r="I114" s="7">
        <f t="shared" si="16"/>
        <v>0.76</v>
      </c>
      <c r="J114" s="3">
        <v>1412</v>
      </c>
      <c r="L114" s="3" t="str">
        <f>IFERROR(AVERAGEIF(Sheet1!$A$1:$A$100,CONCATENATE("s.rule",A114,".tar.gz"),Sheet1!$E$1:$E$100),"")</f>
        <v/>
      </c>
      <c r="N114" s="13" t="str">
        <f t="shared" si="14"/>
        <v/>
      </c>
    </row>
    <row r="115" spans="1:14" x14ac:dyDescent="0.3">
      <c r="A115" s="4">
        <v>494</v>
      </c>
      <c r="B115">
        <v>2</v>
      </c>
      <c r="C115">
        <v>43</v>
      </c>
      <c r="D115" s="2">
        <v>45</v>
      </c>
      <c r="E115" s="2">
        <v>52</v>
      </c>
      <c r="G115" s="2">
        <f t="shared" si="17"/>
        <v>142</v>
      </c>
      <c r="I115" s="7">
        <f t="shared" si="16"/>
        <v>0.76166666666666671</v>
      </c>
      <c r="J115" s="3">
        <v>1435.6</v>
      </c>
      <c r="L115" s="3" t="str">
        <f>IFERROR(AVERAGEIF(Sheet1!$A$1:$A$100,CONCATENATE("s.rule",A115,".tar.gz"),Sheet1!$E$1:$E$100),"")</f>
        <v/>
      </c>
      <c r="N115" s="13" t="str">
        <f t="shared" si="14"/>
        <v/>
      </c>
    </row>
    <row r="116" spans="1:14" x14ac:dyDescent="0.3">
      <c r="A116" s="4">
        <v>495</v>
      </c>
      <c r="B116">
        <v>2</v>
      </c>
      <c r="C116">
        <v>43</v>
      </c>
      <c r="D116" s="2">
        <v>45</v>
      </c>
      <c r="E116" s="2">
        <v>52</v>
      </c>
      <c r="G116" s="2">
        <f t="shared" si="17"/>
        <v>142</v>
      </c>
      <c r="L116" s="3" t="str">
        <f>IFERROR(AVERAGEIF(Sheet1!$A$1:$A$100,CONCATENATE("s.rule",A116,".tar.gz"),Sheet1!$E$1:$E$100),"")</f>
        <v/>
      </c>
      <c r="N116" s="13" t="str">
        <f t="shared" si="14"/>
        <v/>
      </c>
    </row>
    <row r="117" spans="1:14" x14ac:dyDescent="0.3">
      <c r="A117" s="4">
        <v>496</v>
      </c>
      <c r="B117">
        <v>3</v>
      </c>
      <c r="C117">
        <v>34</v>
      </c>
      <c r="D117" s="2">
        <v>42</v>
      </c>
      <c r="E117" s="2">
        <v>48</v>
      </c>
      <c r="G117" s="2">
        <f t="shared" si="17"/>
        <v>127</v>
      </c>
      <c r="I117" s="7">
        <f>(600-G117-1)/600</f>
        <v>0.78666666666666663</v>
      </c>
      <c r="J117" s="3">
        <v>1408.4</v>
      </c>
      <c r="M117" s="3">
        <v>1</v>
      </c>
      <c r="N117" s="13" t="str">
        <f t="shared" si="14"/>
        <v/>
      </c>
    </row>
    <row r="118" spans="1:14" x14ac:dyDescent="0.3">
      <c r="A118" s="4">
        <f t="shared" ref="A118:A122" si="18">A117+1</f>
        <v>497</v>
      </c>
      <c r="B118">
        <v>3</v>
      </c>
      <c r="C118">
        <v>34</v>
      </c>
      <c r="D118" s="2">
        <v>42</v>
      </c>
      <c r="E118" s="2">
        <v>48</v>
      </c>
      <c r="G118" s="2">
        <f t="shared" si="17"/>
        <v>127</v>
      </c>
      <c r="N118" s="13" t="str">
        <f t="shared" si="14"/>
        <v/>
      </c>
    </row>
    <row r="119" spans="1:14" x14ac:dyDescent="0.3">
      <c r="A119" s="4">
        <f t="shared" si="18"/>
        <v>498</v>
      </c>
      <c r="B119">
        <v>3</v>
      </c>
      <c r="C119">
        <v>36</v>
      </c>
      <c r="D119" s="2">
        <v>43</v>
      </c>
      <c r="E119" s="2">
        <v>46</v>
      </c>
      <c r="G119" s="2">
        <f t="shared" si="17"/>
        <v>128</v>
      </c>
      <c r="I119" s="7">
        <f t="shared" ref="I119:I120" si="19">(600-G119-1)/600</f>
        <v>0.78500000000000003</v>
      </c>
      <c r="J119" s="3">
        <v>1395.5</v>
      </c>
      <c r="M119" s="3">
        <v>1</v>
      </c>
      <c r="N119" s="13" t="str">
        <f t="shared" si="14"/>
        <v/>
      </c>
    </row>
    <row r="120" spans="1:14" x14ac:dyDescent="0.3">
      <c r="A120" s="4">
        <f t="shared" si="18"/>
        <v>499</v>
      </c>
      <c r="B120">
        <v>3</v>
      </c>
      <c r="C120">
        <v>36</v>
      </c>
      <c r="D120" s="2">
        <v>44</v>
      </c>
      <c r="E120" s="2">
        <v>45</v>
      </c>
      <c r="G120" s="2">
        <f t="shared" si="17"/>
        <v>128</v>
      </c>
      <c r="I120" s="7">
        <f t="shared" si="19"/>
        <v>0.78500000000000003</v>
      </c>
      <c r="J120" s="3">
        <v>1384.4</v>
      </c>
      <c r="L120" s="3" t="str">
        <f>IFERROR(AVERAGEIF(Sheet1!$A$1:$A$100,CONCATENATE("s.rule",A120,".tar.gz"),Sheet1!$E$1:$E$100),"")</f>
        <v/>
      </c>
      <c r="M120" s="3">
        <v>1</v>
      </c>
      <c r="N120" s="13" t="str">
        <f t="shared" si="14"/>
        <v/>
      </c>
    </row>
    <row r="121" spans="1:14" x14ac:dyDescent="0.3">
      <c r="A121" s="4">
        <f t="shared" si="18"/>
        <v>500</v>
      </c>
      <c r="B121">
        <v>3</v>
      </c>
      <c r="C121" s="2">
        <v>36</v>
      </c>
      <c r="D121" s="2">
        <v>50</v>
      </c>
      <c r="E121" s="2">
        <v>45</v>
      </c>
      <c r="G121" s="2">
        <f t="shared" si="17"/>
        <v>134</v>
      </c>
      <c r="L121" s="3" t="str">
        <f>IFERROR(AVERAGEIF(Sheet1!$A$1:$A$100,CONCATENATE("s.rule",A121,".tar.gz"),Sheet1!$E$1:$E$100),"")</f>
        <v/>
      </c>
      <c r="N121" s="13" t="str">
        <f t="shared" si="14"/>
        <v/>
      </c>
    </row>
    <row r="122" spans="1:14" x14ac:dyDescent="0.3">
      <c r="A122" s="4">
        <f t="shared" si="18"/>
        <v>501</v>
      </c>
      <c r="B122">
        <v>3</v>
      </c>
      <c r="C122" s="2">
        <v>36</v>
      </c>
      <c r="D122" s="2">
        <v>45</v>
      </c>
      <c r="E122" s="2">
        <v>43</v>
      </c>
      <c r="G122" s="2">
        <f t="shared" si="17"/>
        <v>127</v>
      </c>
      <c r="I122" s="7">
        <f>(600-G122-1)/600</f>
        <v>0.78666666666666663</v>
      </c>
      <c r="J122" s="3">
        <v>1420.6</v>
      </c>
      <c r="L122" s="3" t="str">
        <f>IFERROR(AVERAGEIF(Sheet1!$A$1:$A$100,CONCATENATE("s.rule",A122,".tar.gz"),Sheet1!$E$1:$E$100),"")</f>
        <v/>
      </c>
      <c r="M122" s="3">
        <v>1</v>
      </c>
      <c r="N122" s="13" t="str">
        <f t="shared" si="14"/>
        <v/>
      </c>
    </row>
    <row r="123" spans="1:14" x14ac:dyDescent="0.3">
      <c r="A123" s="4">
        <v>502</v>
      </c>
      <c r="B123">
        <v>4</v>
      </c>
      <c r="C123">
        <v>38</v>
      </c>
      <c r="D123" s="2">
        <v>52</v>
      </c>
      <c r="E123" s="2">
        <v>46</v>
      </c>
      <c r="G123" s="2">
        <f t="shared" si="17"/>
        <v>140</v>
      </c>
      <c r="L123" s="3" t="str">
        <f>IFERROR(AVERAGEIF(Sheet1!$A$1:$A$100,CONCATENATE("s.rule",A123,".tar.gz"),Sheet1!$E$1:$E$100),"")</f>
        <v/>
      </c>
      <c r="N123" s="13" t="str">
        <f t="shared" si="14"/>
        <v/>
      </c>
    </row>
    <row r="124" spans="1:14" x14ac:dyDescent="0.3">
      <c r="A124" s="4" t="s">
        <v>77</v>
      </c>
      <c r="B124">
        <v>4</v>
      </c>
      <c r="C124">
        <v>41</v>
      </c>
      <c r="D124" s="2">
        <v>47</v>
      </c>
      <c r="E124" s="2">
        <v>40</v>
      </c>
      <c r="G124" s="2">
        <f t="shared" si="17"/>
        <v>132</v>
      </c>
      <c r="I124" s="7">
        <f>(600-G124-1)/600</f>
        <v>0.77833333333333332</v>
      </c>
      <c r="J124" s="3">
        <v>1438.5</v>
      </c>
      <c r="L124" s="3" t="str">
        <f>IFERROR(AVERAGEIF(Sheet1!$A$1:$A$100,CONCATENATE("s.rule",A124,".tar.gz"),Sheet1!$E$1:$E$100),"")</f>
        <v/>
      </c>
      <c r="M124" s="3">
        <v>1</v>
      </c>
      <c r="N124" s="13" t="str">
        <f t="shared" si="14"/>
        <v/>
      </c>
    </row>
    <row r="125" spans="1:14" x14ac:dyDescent="0.3">
      <c r="A125" s="4" t="s">
        <v>78</v>
      </c>
      <c r="B125">
        <v>3</v>
      </c>
      <c r="C125">
        <v>38</v>
      </c>
      <c r="D125" s="2">
        <v>47</v>
      </c>
      <c r="E125" s="2">
        <v>43</v>
      </c>
      <c r="G125" s="2">
        <f t="shared" si="17"/>
        <v>131</v>
      </c>
      <c r="L125" s="3" t="str">
        <f>IFERROR(AVERAGEIF(Sheet1!$A$1:$A$100,CONCATENATE("s.rule",A125,".tar.gz"),Sheet1!$E$1:$E$100),"")</f>
        <v/>
      </c>
      <c r="N125" s="13" t="str">
        <f t="shared" si="14"/>
        <v/>
      </c>
    </row>
    <row r="126" spans="1:14" x14ac:dyDescent="0.3">
      <c r="A126" s="4" t="s">
        <v>79</v>
      </c>
      <c r="B126">
        <v>3</v>
      </c>
      <c r="C126">
        <v>36</v>
      </c>
      <c r="D126" s="2">
        <v>45</v>
      </c>
      <c r="E126" s="2">
        <v>43</v>
      </c>
      <c r="G126" s="2">
        <f t="shared" si="17"/>
        <v>127</v>
      </c>
      <c r="L126" s="3" t="str">
        <f>IFERROR(AVERAGEIF(Sheet1!$A$1:$A$100,CONCATENATE("s.rule",A126,".tar.gz"),Sheet1!$E$1:$E$100),"")</f>
        <v/>
      </c>
      <c r="N126" s="13" t="str">
        <f t="shared" si="14"/>
        <v/>
      </c>
    </row>
    <row r="127" spans="1:14" x14ac:dyDescent="0.3">
      <c r="A127" s="4">
        <v>503</v>
      </c>
      <c r="B127">
        <v>3</v>
      </c>
      <c r="C127">
        <v>40</v>
      </c>
      <c r="D127" s="2">
        <v>45</v>
      </c>
      <c r="E127" s="2">
        <v>43</v>
      </c>
      <c r="F127" s="2">
        <v>95</v>
      </c>
      <c r="G127" s="2">
        <f t="shared" si="17"/>
        <v>131</v>
      </c>
      <c r="H127" s="2">
        <f>SUM(B127:F127)-1</f>
        <v>225</v>
      </c>
      <c r="I127" s="7">
        <f t="shared" ref="I127:I129" si="20">(600-G127-1)/600</f>
        <v>0.78</v>
      </c>
      <c r="L127" s="3" t="str">
        <f>IFERROR(AVERAGEIF(Sheet1!$A$1:$A$100,CONCATENATE("s.rule",A127,".tar.gz"),Sheet1!$E$1:$E$100),"")</f>
        <v/>
      </c>
      <c r="N127" s="13" t="str">
        <f t="shared" si="14"/>
        <v/>
      </c>
    </row>
    <row r="128" spans="1:14" x14ac:dyDescent="0.3">
      <c r="A128" s="4">
        <v>504</v>
      </c>
      <c r="B128">
        <v>4</v>
      </c>
      <c r="C128">
        <v>41</v>
      </c>
      <c r="D128" s="2">
        <v>47</v>
      </c>
      <c r="E128" s="2">
        <v>44</v>
      </c>
      <c r="F128" s="2">
        <v>94</v>
      </c>
      <c r="G128" s="2">
        <f t="shared" si="17"/>
        <v>136</v>
      </c>
      <c r="H128" s="2">
        <f t="shared" ref="H128:H146" si="21">SUM(B128:F128)-1</f>
        <v>229</v>
      </c>
      <c r="I128" s="7">
        <f t="shared" si="20"/>
        <v>0.77166666666666661</v>
      </c>
      <c r="L128" s="3" t="str">
        <f>IFERROR(AVERAGEIF(Sheet1!$A$1:$A$100,CONCATENATE("s.rule",A128,".tar.gz"),Sheet1!$E$1:$E$100),"")</f>
        <v/>
      </c>
      <c r="N128" s="13" t="str">
        <f t="shared" si="14"/>
        <v/>
      </c>
    </row>
    <row r="129" spans="1:14" x14ac:dyDescent="0.3">
      <c r="A129" s="4" t="s">
        <v>80</v>
      </c>
      <c r="B129">
        <v>3</v>
      </c>
      <c r="C129">
        <v>40</v>
      </c>
      <c r="D129" s="2">
        <v>45</v>
      </c>
      <c r="E129" s="2">
        <v>44</v>
      </c>
      <c r="F129" s="2">
        <v>94</v>
      </c>
      <c r="G129" s="2">
        <f t="shared" si="17"/>
        <v>132</v>
      </c>
      <c r="H129" s="2">
        <f t="shared" si="21"/>
        <v>225</v>
      </c>
      <c r="I129" s="7">
        <f t="shared" si="20"/>
        <v>0.77833333333333332</v>
      </c>
      <c r="L129" s="3" t="str">
        <f>IFERROR(AVERAGEIF(Sheet1!$A$1:$A$100,CONCATENATE("s.rule",A129,".tar.gz"),Sheet1!$E$1:$E$100),"")</f>
        <v/>
      </c>
      <c r="N129" s="13" t="str">
        <f t="shared" si="14"/>
        <v/>
      </c>
    </row>
    <row r="130" spans="1:14" x14ac:dyDescent="0.3">
      <c r="A130" s="4">
        <v>505</v>
      </c>
      <c r="B130">
        <v>5</v>
      </c>
      <c r="C130">
        <v>32</v>
      </c>
      <c r="D130" s="2">
        <v>47</v>
      </c>
      <c r="E130" s="2">
        <v>44</v>
      </c>
      <c r="F130" s="2">
        <v>84</v>
      </c>
      <c r="G130" s="2">
        <f t="shared" si="17"/>
        <v>128</v>
      </c>
      <c r="H130" s="2">
        <f t="shared" si="21"/>
        <v>211</v>
      </c>
      <c r="I130" s="7">
        <f t="shared" ref="I130:I132" si="22">(600-G130-1)/600</f>
        <v>0.78500000000000003</v>
      </c>
      <c r="J130" s="3">
        <v>1413.5</v>
      </c>
      <c r="L130" s="3" t="str">
        <f>IFERROR(AVERAGEIF(Sheet1!$A$1:$A$100,CONCATENATE("s.rule",A130,".tar.gz"),Sheet1!$E$1:$E$100),"")</f>
        <v/>
      </c>
      <c r="M130" s="3">
        <f>COUNTIF(Sheet1!$A$1:$A$100,CONCATENATE("s.rule",A130,".tar.gz"))</f>
        <v>0</v>
      </c>
      <c r="N130" s="13" t="str">
        <f t="shared" si="14"/>
        <v/>
      </c>
    </row>
    <row r="131" spans="1:14" x14ac:dyDescent="0.3">
      <c r="A131" s="4">
        <v>506</v>
      </c>
      <c r="B131">
        <v>2</v>
      </c>
      <c r="C131">
        <v>29</v>
      </c>
      <c r="D131" s="2">
        <v>46</v>
      </c>
      <c r="E131" s="2">
        <v>47</v>
      </c>
      <c r="F131" s="2">
        <v>82</v>
      </c>
      <c r="G131" s="2">
        <f t="shared" si="17"/>
        <v>124</v>
      </c>
      <c r="H131" s="2">
        <f t="shared" si="21"/>
        <v>205</v>
      </c>
      <c r="I131" s="7">
        <f t="shared" si="22"/>
        <v>0.79166666666666663</v>
      </c>
      <c r="J131" s="3">
        <v>1461.1</v>
      </c>
      <c r="L131" s="3" t="str">
        <f>IFERROR(AVERAGEIF(Sheet1!$A$1:$A$100,CONCATENATE("s.rule",A131,".tar.gz"),Sheet1!$E$1:$E$100),"")</f>
        <v/>
      </c>
      <c r="M131" s="3">
        <f>COUNTIF(Sheet1!$A$1:$A$100,CONCATENATE("s.rule",A131,".tar.gz"))</f>
        <v>0</v>
      </c>
      <c r="N131" s="13" t="str">
        <f t="shared" si="14"/>
        <v/>
      </c>
    </row>
    <row r="132" spans="1:14" x14ac:dyDescent="0.3">
      <c r="A132" s="4">
        <v>507</v>
      </c>
      <c r="B132">
        <v>1</v>
      </c>
      <c r="C132">
        <v>35</v>
      </c>
      <c r="D132" s="2">
        <v>49</v>
      </c>
      <c r="E132" s="2">
        <v>48</v>
      </c>
      <c r="F132" s="2">
        <v>86</v>
      </c>
      <c r="G132" s="2">
        <f t="shared" si="17"/>
        <v>133</v>
      </c>
      <c r="H132" s="2">
        <f t="shared" si="21"/>
        <v>218</v>
      </c>
      <c r="I132" s="7">
        <f t="shared" si="22"/>
        <v>0.77666666666666662</v>
      </c>
      <c r="J132" s="3">
        <v>1432</v>
      </c>
      <c r="L132" s="3" t="str">
        <f>IFERROR(AVERAGEIF(Sheet1!$A$1:$A$100,CONCATENATE("s.rule",A132,".tar.gz"),Sheet1!$E$1:$E$100),"")</f>
        <v/>
      </c>
      <c r="M132" s="3">
        <v>1</v>
      </c>
      <c r="N132" s="13" t="str">
        <f t="shared" ref="N132:N144" si="23">IF(K132&lt;&gt;"",K132-J132,"")</f>
        <v/>
      </c>
    </row>
    <row r="133" spans="1:14" x14ac:dyDescent="0.3">
      <c r="A133" s="4">
        <v>508</v>
      </c>
      <c r="B133">
        <v>4</v>
      </c>
      <c r="C133">
        <v>47</v>
      </c>
      <c r="D133" s="2">
        <v>44</v>
      </c>
      <c r="E133" s="2">
        <v>43</v>
      </c>
      <c r="F133" s="2">
        <v>84</v>
      </c>
      <c r="G133" s="2">
        <f t="shared" si="17"/>
        <v>138</v>
      </c>
      <c r="H133" s="2">
        <f t="shared" si="21"/>
        <v>221</v>
      </c>
      <c r="I133" s="7">
        <f t="shared" ref="I133:I140" si="24">(600-G133-1)/600</f>
        <v>0.76833333333333331</v>
      </c>
      <c r="L133" s="3" t="str">
        <f>IFERROR(AVERAGEIF(Sheet1!$A$1:$A$100,CONCATENATE("s.rule",A133,".tar.gz"),Sheet1!$E$1:$E$100),"")</f>
        <v/>
      </c>
      <c r="N133" s="13" t="str">
        <f t="shared" si="23"/>
        <v/>
      </c>
    </row>
    <row r="134" spans="1:14" x14ac:dyDescent="0.3">
      <c r="A134" s="4">
        <v>509</v>
      </c>
      <c r="B134">
        <v>3</v>
      </c>
      <c r="C134">
        <v>38</v>
      </c>
      <c r="D134" s="2">
        <v>41</v>
      </c>
      <c r="E134" s="2">
        <v>42</v>
      </c>
      <c r="F134" s="2">
        <v>88</v>
      </c>
      <c r="G134" s="2">
        <f t="shared" si="17"/>
        <v>124</v>
      </c>
      <c r="H134" s="2">
        <f t="shared" si="21"/>
        <v>211</v>
      </c>
      <c r="I134" s="7">
        <f t="shared" si="24"/>
        <v>0.79166666666666663</v>
      </c>
      <c r="J134" s="3">
        <v>1431.2</v>
      </c>
      <c r="K134" s="3">
        <f t="array" ref="K134">MAX(IF(Sheet1!$A$1:$A$100=CONCATENATE("s.rule",A134,".tar.gz"), Sheet1!$E$1:$E$100))</f>
        <v>1431.2</v>
      </c>
      <c r="L134" s="3">
        <f>IFERROR(AVERAGEIF(Sheet1!$A$1:$A$100,CONCATENATE("s.rule",A134,".tar.gz"),Sheet1!$E$1:$E$100),"")</f>
        <v>1431.2</v>
      </c>
      <c r="M134" s="3">
        <v>1</v>
      </c>
      <c r="N134" s="13">
        <f t="shared" si="23"/>
        <v>0</v>
      </c>
    </row>
    <row r="135" spans="1:14" x14ac:dyDescent="0.3">
      <c r="A135" s="4">
        <v>510</v>
      </c>
      <c r="B135">
        <v>4</v>
      </c>
      <c r="C135">
        <v>45</v>
      </c>
      <c r="D135" s="2">
        <v>49</v>
      </c>
      <c r="E135" s="2">
        <v>38</v>
      </c>
      <c r="F135" s="2">
        <v>85</v>
      </c>
      <c r="G135" s="2">
        <f t="shared" si="17"/>
        <v>136</v>
      </c>
      <c r="H135" s="2">
        <f t="shared" si="21"/>
        <v>220</v>
      </c>
      <c r="I135" s="7">
        <f t="shared" si="24"/>
        <v>0.77166666666666661</v>
      </c>
      <c r="L135" s="3" t="str">
        <f>IFERROR(AVERAGEIF(Sheet1!$A$1:$A$100,CONCATENATE("s.rule",A135,".tar.gz"),Sheet1!$E$1:$E$100),"")</f>
        <v/>
      </c>
      <c r="N135" s="13" t="str">
        <f t="shared" si="23"/>
        <v/>
      </c>
    </row>
    <row r="136" spans="1:14" x14ac:dyDescent="0.3">
      <c r="A136" s="4" t="s">
        <v>81</v>
      </c>
      <c r="B136">
        <v>2</v>
      </c>
      <c r="C136">
        <v>45</v>
      </c>
      <c r="D136" s="2">
        <v>38</v>
      </c>
      <c r="E136" s="2">
        <v>35</v>
      </c>
      <c r="F136" s="2">
        <v>85</v>
      </c>
      <c r="G136" s="2">
        <f t="shared" si="17"/>
        <v>120</v>
      </c>
      <c r="H136" s="2">
        <f t="shared" si="21"/>
        <v>204</v>
      </c>
      <c r="I136" s="7">
        <f t="shared" si="24"/>
        <v>0.79833333333333334</v>
      </c>
      <c r="J136" s="3">
        <v>1440</v>
      </c>
      <c r="L136" s="3" t="str">
        <f>IFERROR(AVERAGEIF(Sheet1!$A$1:$A$100,CONCATENATE("s.rule",A136,".tar.gz"),Sheet1!$E$1:$E$100),"")</f>
        <v/>
      </c>
      <c r="M136" s="3">
        <v>1</v>
      </c>
      <c r="N136" s="13" t="str">
        <f t="shared" si="23"/>
        <v/>
      </c>
    </row>
    <row r="137" spans="1:14" x14ac:dyDescent="0.3">
      <c r="A137" s="4" t="s">
        <v>83</v>
      </c>
      <c r="B137">
        <v>2</v>
      </c>
      <c r="C137">
        <v>45</v>
      </c>
      <c r="D137" s="2">
        <v>37</v>
      </c>
      <c r="E137" s="2">
        <v>35</v>
      </c>
      <c r="F137" s="2">
        <v>86</v>
      </c>
      <c r="G137" s="2">
        <f t="shared" si="17"/>
        <v>119</v>
      </c>
      <c r="H137" s="2">
        <f t="shared" si="21"/>
        <v>204</v>
      </c>
      <c r="I137" s="7">
        <f t="shared" si="24"/>
        <v>0.8</v>
      </c>
      <c r="J137" s="3">
        <v>1444</v>
      </c>
      <c r="K137" s="3">
        <f t="array" ref="K137">MAX(IF(Sheet1!$A$1:$A$100=CONCATENATE("s.rule",A137,".tar.gz"), Sheet1!$E$1:$E$100))</f>
        <v>1444</v>
      </c>
      <c r="L137" s="3">
        <f>IFERROR(AVERAGEIF(Sheet1!$A$1:$A$100,CONCATENATE("s.rule",A137,".tar.gz"),Sheet1!$E$1:$E$100),"")</f>
        <v>1444</v>
      </c>
      <c r="M137" s="3">
        <v>1</v>
      </c>
      <c r="N137" s="13">
        <f t="shared" si="23"/>
        <v>0</v>
      </c>
    </row>
    <row r="138" spans="1:14" x14ac:dyDescent="0.3">
      <c r="A138" s="4">
        <v>511</v>
      </c>
      <c r="B138">
        <v>3</v>
      </c>
      <c r="C138">
        <v>40</v>
      </c>
      <c r="D138" s="2">
        <v>41</v>
      </c>
      <c r="E138" s="2">
        <v>37</v>
      </c>
      <c r="F138" s="2">
        <v>84</v>
      </c>
      <c r="G138" s="2">
        <f t="shared" ref="G138:G145" si="25">SUM(B138:E138)</f>
        <v>121</v>
      </c>
      <c r="H138" s="2">
        <f t="shared" si="21"/>
        <v>204</v>
      </c>
      <c r="I138" s="7">
        <f t="shared" si="24"/>
        <v>0.79666666666666663</v>
      </c>
      <c r="J138" s="3">
        <v>1413.2</v>
      </c>
      <c r="K138" s="3">
        <f t="array" ref="K138">MAX(IF(Sheet1!$A$1:$A$100=CONCATENATE("s.rule",A138,".tar.gz"), Sheet1!$E$1:$E$100))</f>
        <v>1412.8</v>
      </c>
      <c r="L138" s="3">
        <f>IFERROR(AVERAGEIF(Sheet1!$A$1:$A$100,CONCATENATE("s.rule",A138,".tar.gz"),Sheet1!$E$1:$E$100),"")</f>
        <v>1412.8</v>
      </c>
      <c r="M138" s="3">
        <v>1</v>
      </c>
      <c r="N138" s="13">
        <f t="shared" si="23"/>
        <v>-0.40000000000009095</v>
      </c>
    </row>
    <row r="139" spans="1:14" s="2" customFormat="1" x14ac:dyDescent="0.3">
      <c r="A139" s="8" t="s">
        <v>108</v>
      </c>
      <c r="B139" s="2">
        <v>3</v>
      </c>
      <c r="C139" s="2">
        <v>26</v>
      </c>
      <c r="D139" s="2">
        <v>19</v>
      </c>
      <c r="E139" s="2">
        <v>31</v>
      </c>
      <c r="F139" s="2">
        <v>56</v>
      </c>
      <c r="G139" s="2">
        <f t="shared" si="25"/>
        <v>79</v>
      </c>
      <c r="H139" s="2">
        <f t="shared" si="21"/>
        <v>134</v>
      </c>
      <c r="I139" s="7">
        <f t="shared" si="24"/>
        <v>0.8666666666666667</v>
      </c>
      <c r="J139" s="3">
        <v>1510.8</v>
      </c>
      <c r="K139" s="3">
        <f t="array" ref="K139">MAX(IF(Sheet1!$A$1:$A$100=CONCATENATE("s.rule",A139,".tar.gz"), Sheet1!$E$1:$E$100))</f>
        <v>1510.8</v>
      </c>
      <c r="L139" s="3">
        <f>IFERROR(AVERAGEIF(Sheet1!$A$1:$A$100,CONCATENATE("s.rule",A139,".tar.gz"),Sheet1!$E$1:$E$100),"")</f>
        <v>1510.8</v>
      </c>
      <c r="M139" s="3">
        <v>1</v>
      </c>
      <c r="N139" s="13">
        <f t="shared" si="23"/>
        <v>0</v>
      </c>
    </row>
    <row r="140" spans="1:14" s="2" customFormat="1" x14ac:dyDescent="0.3">
      <c r="A140" s="8" t="s">
        <v>118</v>
      </c>
      <c r="B140" s="2">
        <v>3</v>
      </c>
      <c r="C140" s="2">
        <v>28</v>
      </c>
      <c r="D140" s="2">
        <v>22</v>
      </c>
      <c r="E140" s="2">
        <v>33</v>
      </c>
      <c r="F140" s="2">
        <v>57</v>
      </c>
      <c r="G140" s="2">
        <f t="shared" si="25"/>
        <v>86</v>
      </c>
      <c r="H140" s="2">
        <f t="shared" si="21"/>
        <v>142</v>
      </c>
      <c r="I140" s="7">
        <f t="shared" si="24"/>
        <v>0.85499999999999998</v>
      </c>
      <c r="J140" s="3">
        <v>1492.7</v>
      </c>
      <c r="K140" s="3">
        <f t="array" ref="K140">MAX(IF(Sheet1!$A$1:$A$100=CONCATENATE("s.rule",A140,".tar.gz"), Sheet1!$E$1:$E$100))</f>
        <v>1492.7</v>
      </c>
      <c r="L140" s="3">
        <f>IFERROR(AVERAGEIF(Sheet1!$A$1:$A$100,CONCATENATE("s.rule",A140,".tar.gz"),Sheet1!$E$1:$E$100),"")</f>
        <v>1492.7</v>
      </c>
      <c r="M140" s="3">
        <v>1</v>
      </c>
      <c r="N140" s="13">
        <f t="shared" si="23"/>
        <v>0</v>
      </c>
    </row>
    <row r="141" spans="1:14" x14ac:dyDescent="0.3">
      <c r="A141" s="4">
        <f>A138+1</f>
        <v>512</v>
      </c>
      <c r="B141">
        <v>1</v>
      </c>
      <c r="C141">
        <v>38</v>
      </c>
      <c r="D141" s="2">
        <v>38</v>
      </c>
      <c r="E141" s="2">
        <v>39</v>
      </c>
      <c r="F141" s="2">
        <v>86</v>
      </c>
      <c r="G141" s="2">
        <f t="shared" si="25"/>
        <v>116</v>
      </c>
      <c r="H141" s="2">
        <f t="shared" si="21"/>
        <v>201</v>
      </c>
      <c r="I141" s="7">
        <f t="shared" ref="I141:I148" si="26">(600-G141-1)/600</f>
        <v>0.80500000000000005</v>
      </c>
      <c r="J141" s="3">
        <v>1429.8</v>
      </c>
      <c r="K141" s="3">
        <f t="array" ref="K141">MAX(IF(Sheet1!$A$1:$A$100=CONCATENATE("s.rule",A141,".tar.gz"), Sheet1!$E$1:$E$100))</f>
        <v>1429.2</v>
      </c>
      <c r="L141" s="3">
        <f>IFERROR(AVERAGEIF(Sheet1!$A$1:$A$100,CONCATENATE("s.rule",A141,".tar.gz"),Sheet1!$E$1:$E$100),"")</f>
        <v>1429.2</v>
      </c>
      <c r="M141" s="3">
        <v>1</v>
      </c>
      <c r="N141" s="13">
        <f t="shared" si="23"/>
        <v>-0.59999999999990905</v>
      </c>
    </row>
    <row r="142" spans="1:14" x14ac:dyDescent="0.3">
      <c r="A142" s="4">
        <f t="shared" ref="A142" si="27">A141+1</f>
        <v>513</v>
      </c>
      <c r="B142">
        <v>1</v>
      </c>
      <c r="C142">
        <v>38</v>
      </c>
      <c r="D142" s="2">
        <v>38</v>
      </c>
      <c r="E142" s="2">
        <v>40</v>
      </c>
      <c r="F142" s="2">
        <v>86</v>
      </c>
      <c r="G142" s="2">
        <f t="shared" si="25"/>
        <v>117</v>
      </c>
      <c r="H142" s="2">
        <f t="shared" si="21"/>
        <v>202</v>
      </c>
      <c r="I142" s="7">
        <f t="shared" si="26"/>
        <v>0.80333333333333334</v>
      </c>
      <c r="J142" s="3">
        <v>1423.9</v>
      </c>
      <c r="K142" s="3">
        <f t="array" ref="K142">MAX(IF(Sheet1!$A$1:$A$100=CONCATENATE("s.rule",A142,".tar.gz"), Sheet1!$E$1:$E$100))</f>
        <v>1423.9</v>
      </c>
      <c r="L142" s="3">
        <f>IFERROR(AVERAGEIF(Sheet1!$A$1:$A$100,CONCATENATE("s.rule",A142,".tar.gz"),Sheet1!$E$1:$E$100),"")</f>
        <v>1423.9</v>
      </c>
      <c r="M142" s="3">
        <v>1</v>
      </c>
      <c r="N142" s="13">
        <f t="shared" si="23"/>
        <v>0</v>
      </c>
    </row>
    <row r="143" spans="1:14" s="2" customFormat="1" x14ac:dyDescent="0.3">
      <c r="A143" s="4">
        <v>514</v>
      </c>
      <c r="B143" s="2">
        <v>2</v>
      </c>
      <c r="C143" s="2">
        <v>36</v>
      </c>
      <c r="D143" s="2">
        <v>36</v>
      </c>
      <c r="E143" s="2">
        <v>31</v>
      </c>
      <c r="F143" s="2">
        <v>85</v>
      </c>
      <c r="G143" s="2">
        <f t="shared" si="25"/>
        <v>105</v>
      </c>
      <c r="H143" s="2">
        <f t="shared" si="21"/>
        <v>189</v>
      </c>
      <c r="I143" s="7">
        <f t="shared" si="26"/>
        <v>0.82333333333333336</v>
      </c>
      <c r="J143" s="3">
        <v>1427.5</v>
      </c>
      <c r="K143" s="3">
        <f t="array" ref="K143">MAX(IF(Sheet1!$A$1:$A$100=CONCATENATE("s.rule",A143,".tar.gz"), Sheet1!$E$1:$E$100))</f>
        <v>1431.9</v>
      </c>
      <c r="L143" s="3">
        <f>IFERROR(AVERAGEIF(Sheet1!$A$1:$A$100,CONCATENATE("s.rule",A143,".tar.gz"),Sheet1!$E$1:$E$100),"")</f>
        <v>1431.9</v>
      </c>
      <c r="M143" s="3">
        <v>1</v>
      </c>
      <c r="N143" s="13">
        <f t="shared" si="23"/>
        <v>4.4000000000000909</v>
      </c>
    </row>
    <row r="144" spans="1:14" x14ac:dyDescent="0.3">
      <c r="A144" s="4" t="s">
        <v>91</v>
      </c>
      <c r="B144">
        <v>2</v>
      </c>
      <c r="C144">
        <v>37</v>
      </c>
      <c r="D144" s="2">
        <v>33</v>
      </c>
      <c r="E144" s="2">
        <v>27</v>
      </c>
      <c r="F144" s="2">
        <v>83</v>
      </c>
      <c r="G144" s="2">
        <f t="shared" si="25"/>
        <v>99</v>
      </c>
      <c r="H144" s="2">
        <f t="shared" si="21"/>
        <v>181</v>
      </c>
      <c r="I144" s="7">
        <f t="shared" si="26"/>
        <v>0.83333333333333337</v>
      </c>
      <c r="J144" s="3">
        <v>1408.4</v>
      </c>
      <c r="K144" s="3">
        <f t="array" ref="K144">MAX(IF(Sheet1!$A$1:$A$100=CONCATENATE("s.rule",A144,".tar.gz"), Sheet1!$E$1:$E$100))</f>
        <v>1402.2</v>
      </c>
      <c r="L144" s="3">
        <f>IFERROR(AVERAGEIF(Sheet1!$A$1:$A$100,CONCATENATE("s.rule",A144,".tar.gz"),Sheet1!$E$1:$E$100),"")</f>
        <v>1402.2</v>
      </c>
      <c r="M144" s="3">
        <v>1</v>
      </c>
      <c r="N144" s="13">
        <f t="shared" si="23"/>
        <v>-6.2000000000000455</v>
      </c>
    </row>
    <row r="145" spans="1:19" s="2" customFormat="1" x14ac:dyDescent="0.3">
      <c r="A145" s="8">
        <v>516</v>
      </c>
      <c r="B145" s="2">
        <v>5</v>
      </c>
      <c r="C145" s="2">
        <v>26</v>
      </c>
      <c r="D145" s="2">
        <v>21</v>
      </c>
      <c r="E145" s="2">
        <v>29</v>
      </c>
      <c r="F145" s="2">
        <v>53</v>
      </c>
      <c r="G145" s="2">
        <f t="shared" ref="G141:G147" si="28">SUM(B145:E145)</f>
        <v>81</v>
      </c>
      <c r="H145" s="2">
        <f t="shared" si="21"/>
        <v>133</v>
      </c>
      <c r="I145" s="7">
        <f t="shared" si="26"/>
        <v>0.86333333333333329</v>
      </c>
      <c r="J145" s="3"/>
      <c r="K145" s="3"/>
      <c r="L145" s="3" t="str">
        <f>IFERROR(AVERAGEIF(Sheet1!$A$1:$A$100,CONCATENATE("s.rule",A145,".tar.gz"),Sheet1!$E$1:$E$100),"")</f>
        <v/>
      </c>
      <c r="M145" s="3"/>
      <c r="N145" s="13"/>
    </row>
    <row r="146" spans="1:19" x14ac:dyDescent="0.3">
      <c r="A146" s="8">
        <v>517</v>
      </c>
      <c r="B146">
        <v>5</v>
      </c>
      <c r="C146">
        <v>27</v>
      </c>
      <c r="D146" s="2">
        <v>20</v>
      </c>
      <c r="E146" s="2">
        <v>35</v>
      </c>
      <c r="F146" s="2">
        <v>55</v>
      </c>
      <c r="G146" s="2">
        <f t="shared" si="28"/>
        <v>87</v>
      </c>
      <c r="H146" s="2">
        <f t="shared" si="21"/>
        <v>141</v>
      </c>
      <c r="I146" s="7">
        <f t="shared" si="26"/>
        <v>0.85333333333333339</v>
      </c>
      <c r="J146" s="3">
        <v>1505.1</v>
      </c>
      <c r="K146" s="3">
        <f t="array" ref="K146">MAX(IF(Sheet1!$A$1:$A$100=CONCATENATE("s.rule",A146,".tar.gz"), Sheet1!$E$1:$E$100))</f>
        <v>1500.2</v>
      </c>
      <c r="L146" s="3">
        <f>IFERROR(AVERAGEIF(Sheet1!$A$1:$A$100,CONCATENATE("s.rule",A146,".tar.gz"),Sheet1!$E$1:$E$100),"")</f>
        <v>1500.2</v>
      </c>
      <c r="M146" s="3">
        <f>COUNTIF(Sheet1!$A$1:$A$100,CONCATENATE("s.rule",A146,".tar.gz"))</f>
        <v>1</v>
      </c>
      <c r="N146" s="13">
        <f t="shared" ref="N146:N164" si="29">IF(K146&lt;&gt;"",K146-J146,"")</f>
        <v>-4.8999999999998636</v>
      </c>
      <c r="O146" s="2"/>
      <c r="Q146" t="s">
        <v>129</v>
      </c>
      <c r="R146" t="s">
        <v>130</v>
      </c>
      <c r="S146" t="s">
        <v>131</v>
      </c>
    </row>
    <row r="147" spans="1:19" s="2" customFormat="1" x14ac:dyDescent="0.3">
      <c r="A147" s="8">
        <v>518</v>
      </c>
      <c r="B147" s="2">
        <v>2</v>
      </c>
      <c r="C147" s="2">
        <v>25</v>
      </c>
      <c r="D147" s="2">
        <v>24</v>
      </c>
      <c r="E147" s="2">
        <v>24</v>
      </c>
      <c r="F147" s="2">
        <v>64</v>
      </c>
      <c r="G147" s="2">
        <f t="shared" si="28"/>
        <v>75</v>
      </c>
      <c r="H147" s="2">
        <f t="shared" ref="H147:H152" si="30">SUM(B147:F147)-1</f>
        <v>138</v>
      </c>
      <c r="I147" s="7">
        <f t="shared" si="26"/>
        <v>0.87333333333333329</v>
      </c>
      <c r="J147" s="3">
        <v>1537.4</v>
      </c>
      <c r="K147" s="3">
        <f t="array" ref="K147">MAX(IF(Sheet1!$A$1:$A$100=CONCATENATE("s.rule",A147,".tar.gz"), Sheet1!$E$1:$E$100))</f>
        <v>1537.4</v>
      </c>
      <c r="L147" s="3">
        <f>IFERROR(AVERAGEIF(Sheet1!$A$1:$A$100,CONCATENATE("s.rule",A147,".tar.gz"),Sheet1!$E$1:$E$100),"")</f>
        <v>1528.3000000000002</v>
      </c>
      <c r="M147" s="3">
        <f>COUNTIF(Sheet1!$A$1:$A$100,CONCATENATE("s.rule",A147,".tar.gz"))</f>
        <v>2</v>
      </c>
      <c r="N147" s="13">
        <f t="shared" si="29"/>
        <v>0</v>
      </c>
    </row>
    <row r="148" spans="1:19" s="2" customFormat="1" x14ac:dyDescent="0.3">
      <c r="A148" s="8">
        <v>519</v>
      </c>
      <c r="B148" s="2">
        <v>2</v>
      </c>
      <c r="C148" s="10">
        <v>24</v>
      </c>
      <c r="D148" s="10">
        <v>18</v>
      </c>
      <c r="E148" s="10">
        <v>24</v>
      </c>
      <c r="F148" s="10">
        <v>53</v>
      </c>
      <c r="G148" s="2">
        <f t="shared" ref="G148:G153" si="31">SUM(B148:E148)</f>
        <v>68</v>
      </c>
      <c r="H148" s="2">
        <f t="shared" si="30"/>
        <v>120</v>
      </c>
      <c r="I148" s="7">
        <f t="shared" si="26"/>
        <v>0.88500000000000001</v>
      </c>
      <c r="J148" s="3">
        <v>1508</v>
      </c>
      <c r="K148" s="3">
        <f t="array" ref="K148">MAX(IF(Sheet1!$A$1:$A$100=CONCATENATE("s.rule",A148,".tar.gz"), Sheet1!$E$1:$E$100))</f>
        <v>1502.2</v>
      </c>
      <c r="L148" s="3">
        <f>IFERROR(AVERAGEIF(Sheet1!$A$1:$A$100,CONCATENATE("s.rule",A148,".tar.gz"),Sheet1!$E$1:$E$100),"")</f>
        <v>1502.2</v>
      </c>
      <c r="M148" s="3">
        <f>COUNTIF(Sheet1!$A$1:$A$100,CONCATENATE("s.rule",A148,".tar.gz"))</f>
        <v>1</v>
      </c>
      <c r="N148" s="13">
        <f t="shared" si="29"/>
        <v>-5.7999999999999545</v>
      </c>
    </row>
    <row r="149" spans="1:19" s="2" customFormat="1" x14ac:dyDescent="0.3">
      <c r="A149" s="8" t="s">
        <v>114</v>
      </c>
      <c r="B149" s="2">
        <v>2</v>
      </c>
      <c r="C149" s="10">
        <v>21</v>
      </c>
      <c r="D149" s="10">
        <v>20</v>
      </c>
      <c r="E149" s="10">
        <v>25</v>
      </c>
      <c r="F149" s="10">
        <v>51</v>
      </c>
      <c r="G149" s="2">
        <f t="shared" ref="G149" si="32">SUM(B149:E149)</f>
        <v>68</v>
      </c>
      <c r="H149" s="2">
        <f t="shared" ref="H149" si="33">SUM(B149:F149)-1</f>
        <v>118</v>
      </c>
      <c r="I149" s="7">
        <f t="shared" ref="I149" si="34">(600-G149-1)/600</f>
        <v>0.88500000000000001</v>
      </c>
      <c r="J149" s="3">
        <v>1538.9</v>
      </c>
      <c r="K149" s="3">
        <f t="array" ref="K149">MAX(IF(Sheet1!$A$1:$A$100=CONCATENATE("s.rule",A149,".tar.gz"), Sheet1!$E$1:$E$100))</f>
        <v>1534.5</v>
      </c>
      <c r="L149" s="3">
        <f>IFERROR(AVERAGEIF(Sheet1!$A$1:$A$100,CONCATENATE("s.rule",A149,".tar.gz"),Sheet1!$E$1:$E$100),"")</f>
        <v>1520.4</v>
      </c>
      <c r="M149" s="3">
        <f>COUNTIF(Sheet1!$A$1:$A$100,CONCATENATE("s.rule",A149,".tar.gz"))</f>
        <v>2</v>
      </c>
      <c r="N149" s="13">
        <f t="shared" si="29"/>
        <v>-4.4000000000000909</v>
      </c>
    </row>
    <row r="150" spans="1:19" s="2" customFormat="1" x14ac:dyDescent="0.3">
      <c r="A150" s="8">
        <v>520</v>
      </c>
      <c r="B150" s="2">
        <v>3</v>
      </c>
      <c r="C150" s="10">
        <v>21</v>
      </c>
      <c r="D150" s="10">
        <v>21</v>
      </c>
      <c r="E150" s="10">
        <v>27</v>
      </c>
      <c r="F150" s="10">
        <v>47</v>
      </c>
      <c r="G150" s="2">
        <f t="shared" si="31"/>
        <v>72</v>
      </c>
      <c r="H150" s="2">
        <f t="shared" si="30"/>
        <v>118</v>
      </c>
      <c r="I150" s="7">
        <f t="shared" ref="I150:I164" si="35">(600-G150-1)/600</f>
        <v>0.8783333333333333</v>
      </c>
      <c r="J150" s="3">
        <v>1563</v>
      </c>
      <c r="K150" s="3">
        <f t="array" ref="K150">MAX(IF(Sheet1!$A$1:$A$100=CONCATENATE("s.rule",A150,".tar.gz"), Sheet1!$E$1:$E$100))</f>
        <v>1557.8</v>
      </c>
      <c r="L150" s="3">
        <f>IFERROR(AVERAGEIF(Sheet1!$A$1:$A$100,CONCATENATE("s.rule",A150,".tar.gz"),Sheet1!$E$1:$E$100),"")</f>
        <v>1525.8666666666668</v>
      </c>
      <c r="M150" s="3">
        <f>COUNTIF(Sheet1!$A$1:$A$100,CONCATENATE("s.rule",A150,".tar.gz"))</f>
        <v>3</v>
      </c>
      <c r="N150" s="13">
        <f t="shared" si="29"/>
        <v>-5.2000000000000455</v>
      </c>
    </row>
    <row r="151" spans="1:19" s="2" customFormat="1" x14ac:dyDescent="0.3">
      <c r="A151" s="8" t="s">
        <v>121</v>
      </c>
      <c r="B151" s="2">
        <v>3</v>
      </c>
      <c r="C151" s="10">
        <v>22</v>
      </c>
      <c r="D151" s="10">
        <v>23</v>
      </c>
      <c r="E151" s="10">
        <v>25</v>
      </c>
      <c r="F151" s="10">
        <v>50</v>
      </c>
      <c r="G151" s="2">
        <f t="shared" si="31"/>
        <v>73</v>
      </c>
      <c r="H151" s="2">
        <f t="shared" ref="H151" si="36">SUM(B151:F151)-1</f>
        <v>122</v>
      </c>
      <c r="I151" s="7">
        <f t="shared" ref="I151" si="37">(600-G151-1)/600</f>
        <v>0.87666666666666671</v>
      </c>
      <c r="J151" s="3">
        <v>1530</v>
      </c>
      <c r="K151" s="3">
        <f t="array" ref="K151">MAX(IF(Sheet1!$A$1:$A$100=CONCATENATE("s.rule",A151,".tar.gz"), Sheet1!$E$1:$E$100))</f>
        <v>1533.9</v>
      </c>
      <c r="L151" s="3">
        <f>IFERROR(AVERAGEIF(Sheet1!$A$1:$A$100,CONCATENATE("s.rule",A151,".tar.gz"),Sheet1!$E$1:$E$100),"")</f>
        <v>1501.9</v>
      </c>
      <c r="M151" s="3">
        <f>COUNTIF(Sheet1!$A$1:$A$100,CONCATENATE("s.rule",A151,".tar.gz"))</f>
        <v>2</v>
      </c>
      <c r="N151" s="13">
        <f t="shared" ref="N151" si="38">IF(K151&lt;&gt;"",K151-J151,"")</f>
        <v>3.9000000000000909</v>
      </c>
    </row>
    <row r="152" spans="1:19" s="2" customFormat="1" x14ac:dyDescent="0.3">
      <c r="A152" s="12" t="s">
        <v>146</v>
      </c>
      <c r="B152" s="2">
        <v>3</v>
      </c>
      <c r="C152" s="10">
        <v>14</v>
      </c>
      <c r="D152" s="10">
        <v>27</v>
      </c>
      <c r="E152" s="10">
        <v>26</v>
      </c>
      <c r="F152" s="10">
        <v>47</v>
      </c>
      <c r="G152" s="2">
        <f t="shared" ref="G152" si="39">SUM(B152:E152)</f>
        <v>70</v>
      </c>
      <c r="H152" s="2">
        <f t="shared" ref="H152" si="40">SUM(B152:F152)-1</f>
        <v>116</v>
      </c>
      <c r="I152" s="7">
        <f t="shared" ref="I152" si="41">(600-G152-1)/600</f>
        <v>0.88166666666666671</v>
      </c>
      <c r="J152" s="3">
        <v>1468.6</v>
      </c>
      <c r="K152" s="3">
        <f t="array" ref="K152">MAX(IF(Sheet1!$A$1:$A$100=CONCATENATE("s.rule",A152,".tar.gz"), Sheet1!$E$1:$E$100))</f>
        <v>1464</v>
      </c>
      <c r="L152" s="3">
        <f>IFERROR(AVERAGEIF(Sheet1!$A$1:$A$100,CONCATENATE("s.rule",A152,".tar.gz"),Sheet1!$E$1:$E$100),"")</f>
        <v>1464</v>
      </c>
      <c r="M152" s="3">
        <f>COUNTIF(Sheet1!$A$1:$A$100,CONCATENATE("s.rule",A152,".tar.gz"))</f>
        <v>1</v>
      </c>
      <c r="N152" s="13">
        <f t="shared" si="29"/>
        <v>-4.5999999999999091</v>
      </c>
    </row>
    <row r="153" spans="1:19" s="2" customFormat="1" x14ac:dyDescent="0.3">
      <c r="A153" s="8">
        <v>521</v>
      </c>
      <c r="B153" s="2">
        <v>2</v>
      </c>
      <c r="C153" s="10">
        <v>26</v>
      </c>
      <c r="D153" s="10">
        <v>19</v>
      </c>
      <c r="E153" s="10">
        <v>24</v>
      </c>
      <c r="F153" s="10">
        <v>46</v>
      </c>
      <c r="G153" s="2">
        <f t="shared" si="31"/>
        <v>71</v>
      </c>
      <c r="H153" s="2">
        <f t="shared" ref="H153" si="42">SUM(B153:F153)-1</f>
        <v>116</v>
      </c>
      <c r="I153" s="7">
        <f t="shared" si="35"/>
        <v>0.88</v>
      </c>
      <c r="J153" s="3">
        <v>1521.8</v>
      </c>
      <c r="K153" s="3">
        <f t="array" ref="K153">MAX(IF(Sheet1!$A$1:$A$100=CONCATENATE("s.rule",A153,".tar.gz"), Sheet1!$E$1:$E$100))</f>
        <v>1517.9</v>
      </c>
      <c r="L153" s="3">
        <f>IFERROR(AVERAGEIF(Sheet1!$A$1:$A$100,CONCATENATE("s.rule",A153,".tar.gz"),Sheet1!$E$1:$E$100),"")</f>
        <v>1509.9</v>
      </c>
      <c r="M153" s="3">
        <f>COUNTIF(Sheet1!$A$1:$A$100,CONCATENATE("s.rule",A153,".tar.gz"))</f>
        <v>2</v>
      </c>
      <c r="N153" s="13">
        <f t="shared" si="29"/>
        <v>-3.8999999999998636</v>
      </c>
    </row>
    <row r="154" spans="1:19" s="2" customFormat="1" x14ac:dyDescent="0.3">
      <c r="A154" s="8" t="s">
        <v>115</v>
      </c>
      <c r="B154" s="2">
        <v>2</v>
      </c>
      <c r="C154" s="10">
        <v>25</v>
      </c>
      <c r="D154" s="10">
        <v>20</v>
      </c>
      <c r="E154" s="10">
        <v>22</v>
      </c>
      <c r="F154" s="10">
        <v>46</v>
      </c>
      <c r="G154" s="2">
        <f t="shared" ref="G154:G157" si="43">SUM(B154:E154)</f>
        <v>69</v>
      </c>
      <c r="H154" s="2">
        <f t="shared" ref="H154" si="44">SUM(B154:F154)-1</f>
        <v>114</v>
      </c>
      <c r="I154" s="7">
        <f t="shared" si="35"/>
        <v>0.8833333333333333</v>
      </c>
      <c r="J154" s="3">
        <v>1529.1</v>
      </c>
      <c r="K154" s="3">
        <f t="array" ref="K154">MAX(IF(Sheet1!$A$1:$A$100=CONCATENATE("s.rule",A154,".tar.gz"), Sheet1!$E$1:$E$100))</f>
        <v>1524.6</v>
      </c>
      <c r="L154" s="3">
        <f>IFERROR(AVERAGEIF(Sheet1!$A$1:$A$100,CONCATENATE("s.rule",A154,".tar.gz"),Sheet1!$E$1:$E$100),"")</f>
        <v>1500.3333333333333</v>
      </c>
      <c r="M154" s="3">
        <f>COUNTIF(Sheet1!$A$1:$A$100,CONCATENATE("s.rule",A154,".tar.gz"))</f>
        <v>3</v>
      </c>
      <c r="N154" s="13">
        <f t="shared" si="29"/>
        <v>-4.5</v>
      </c>
    </row>
    <row r="155" spans="1:19" s="2" customFormat="1" x14ac:dyDescent="0.3">
      <c r="A155" s="12" t="s">
        <v>140</v>
      </c>
      <c r="B155" s="2">
        <v>3</v>
      </c>
      <c r="C155" s="10">
        <v>15</v>
      </c>
      <c r="D155" s="10">
        <v>22</v>
      </c>
      <c r="E155" s="10">
        <v>20</v>
      </c>
      <c r="F155" s="10">
        <v>45</v>
      </c>
      <c r="G155" s="2">
        <f t="shared" si="43"/>
        <v>60</v>
      </c>
      <c r="H155" s="2">
        <f t="shared" ref="H155" si="45">SUM(B155:F155)-1</f>
        <v>104</v>
      </c>
      <c r="I155" s="7">
        <f t="shared" ref="I155" si="46">(600-G155-1)/600</f>
        <v>0.89833333333333332</v>
      </c>
      <c r="J155" s="3">
        <v>1448.4</v>
      </c>
      <c r="K155" s="3">
        <f t="array" ref="K155">MAX(IF(Sheet1!$A$1:$A$100=CONCATENATE("s.rule",A155,".tar.gz"), Sheet1!$E$1:$E$100))</f>
        <v>1453.7</v>
      </c>
      <c r="L155" s="3">
        <f>IFERROR(AVERAGEIF(Sheet1!$A$1:$A$100,CONCATENATE("s.rule",A155,".tar.gz"),Sheet1!$E$1:$E$100),"")</f>
        <v>1453.7</v>
      </c>
      <c r="M155" s="3">
        <f>COUNTIF(Sheet1!$A$1:$A$100,CONCATENATE("s.rule",A155,".tar.gz"))</f>
        <v>1</v>
      </c>
      <c r="N155" s="13">
        <f t="shared" ref="N155" si="47">IF(K155&lt;&gt;"",K155-J155,"")</f>
        <v>5.2999999999999545</v>
      </c>
    </row>
    <row r="156" spans="1:19" s="2" customFormat="1" x14ac:dyDescent="0.3">
      <c r="A156" s="11" t="s">
        <v>141</v>
      </c>
      <c r="C156" s="10">
        <v>17</v>
      </c>
      <c r="D156" s="10">
        <v>29</v>
      </c>
      <c r="E156" s="10">
        <v>26</v>
      </c>
      <c r="F156" s="10">
        <v>45</v>
      </c>
      <c r="G156" s="2">
        <f t="shared" si="43"/>
        <v>72</v>
      </c>
      <c r="H156" s="2">
        <f t="shared" ref="H156:H163" si="48">SUM(B156:F156)-1</f>
        <v>116</v>
      </c>
      <c r="I156" s="7">
        <f t="shared" si="35"/>
        <v>0.8783333333333333</v>
      </c>
      <c r="J156" s="3">
        <v>1451.7</v>
      </c>
      <c r="K156" s="3">
        <f t="array" ref="K156">MAX(IF(Sheet1!$A$1:$A$100=CONCATENATE("s.rule",A156,".tar.gz"), Sheet1!$E$1:$E$100))</f>
        <v>1447.9</v>
      </c>
      <c r="L156" s="3">
        <f>IFERROR(AVERAGEIF(Sheet1!$A$1:$A$100,CONCATENATE("s.rule",A156,".tar.gz"),Sheet1!$E$1:$E$100),"")</f>
        <v>1447.9</v>
      </c>
      <c r="M156" s="3">
        <f>COUNTIF(Sheet1!$A$1:$A$100,CONCATENATE("s.rule",A156,".tar.gz"))</f>
        <v>1</v>
      </c>
      <c r="N156" s="13">
        <f t="shared" si="29"/>
        <v>-3.7999999999999545</v>
      </c>
    </row>
    <row r="157" spans="1:19" s="2" customFormat="1" x14ac:dyDescent="0.3">
      <c r="A157" s="8">
        <v>522</v>
      </c>
      <c r="B157" s="2">
        <v>2</v>
      </c>
      <c r="C157" s="10">
        <v>25</v>
      </c>
      <c r="D157" s="10">
        <v>20</v>
      </c>
      <c r="E157" s="10">
        <v>23</v>
      </c>
      <c r="F157" s="10">
        <v>46</v>
      </c>
      <c r="G157" s="2">
        <f t="shared" si="43"/>
        <v>70</v>
      </c>
      <c r="H157" s="2">
        <f t="shared" si="48"/>
        <v>115</v>
      </c>
      <c r="I157" s="7">
        <f t="shared" si="35"/>
        <v>0.88166666666666671</v>
      </c>
      <c r="J157" s="3">
        <v>1533.2</v>
      </c>
      <c r="K157" s="3">
        <f t="array" ref="K157">MAX(IF(Sheet1!$A$1:$A$100=CONCATENATE("s.rule",A157,".tar.gz"), Sheet1!$E$1:$E$100))</f>
        <v>1537</v>
      </c>
      <c r="L157" s="3">
        <f>IFERROR(AVERAGEIF(Sheet1!$A$1:$A$100,CONCATENATE("s.rule",A157,".tar.gz"),Sheet1!$E$1:$E$100),"")</f>
        <v>1520.5</v>
      </c>
      <c r="M157" s="3">
        <f>COUNTIF(Sheet1!$A$1:$A$100,CONCATENATE("s.rule",A157,".tar.gz"))</f>
        <v>2</v>
      </c>
      <c r="N157" s="13">
        <f t="shared" si="29"/>
        <v>3.7999999999999545</v>
      </c>
    </row>
    <row r="158" spans="1:19" s="2" customFormat="1" x14ac:dyDescent="0.3">
      <c r="A158" s="8">
        <v>523</v>
      </c>
      <c r="B158" s="2">
        <v>2</v>
      </c>
      <c r="C158" s="10">
        <v>24</v>
      </c>
      <c r="D158" s="10">
        <v>20</v>
      </c>
      <c r="E158" s="10">
        <v>23</v>
      </c>
      <c r="F158" s="10">
        <v>45</v>
      </c>
      <c r="G158" s="2">
        <f t="shared" ref="G158:G163" si="49">SUM(B158:E158)</f>
        <v>69</v>
      </c>
      <c r="H158" s="2">
        <f t="shared" si="48"/>
        <v>113</v>
      </c>
      <c r="I158" s="7">
        <f t="shared" si="35"/>
        <v>0.8833333333333333</v>
      </c>
      <c r="J158" s="3">
        <v>1529.9</v>
      </c>
      <c r="K158" s="3">
        <f t="array" ref="K158">MAX(IF(Sheet1!$A$1:$A$100=CONCATENATE("s.rule",A158,".tar.gz"), Sheet1!$E$1:$E$100))</f>
        <v>1534.5</v>
      </c>
      <c r="L158" s="3">
        <f>IFERROR(AVERAGEIF(Sheet1!$A$1:$A$100,CONCATENATE("s.rule",A158,".tar.gz"),Sheet1!$E$1:$E$100),"")</f>
        <v>1505.06</v>
      </c>
      <c r="M158" s="3">
        <f>COUNTIF(Sheet1!$A$1:$A$100,CONCATENATE("s.rule",A158,".tar.gz"))</f>
        <v>5</v>
      </c>
      <c r="N158" s="13">
        <f t="shared" si="29"/>
        <v>4.5999999999999091</v>
      </c>
    </row>
    <row r="159" spans="1:19" s="2" customFormat="1" x14ac:dyDescent="0.3">
      <c r="A159" s="8">
        <v>524</v>
      </c>
      <c r="B159" s="2">
        <v>3</v>
      </c>
      <c r="C159" s="10">
        <v>18</v>
      </c>
      <c r="D159" s="10">
        <v>17</v>
      </c>
      <c r="E159" s="10">
        <v>21</v>
      </c>
      <c r="F159" s="10">
        <v>48</v>
      </c>
      <c r="G159" s="2">
        <f t="shared" ref="G159:G160" si="50">SUM(B159:E159)</f>
        <v>59</v>
      </c>
      <c r="H159" s="2">
        <f t="shared" ref="H159:H160" si="51">SUM(B159:F159)-1</f>
        <v>106</v>
      </c>
      <c r="I159" s="7">
        <f t="shared" ref="I159:I160" si="52">(600-G159-1)/600</f>
        <v>0.9</v>
      </c>
      <c r="J159" s="3">
        <v>1508.2</v>
      </c>
      <c r="K159" s="3">
        <f t="array" ref="K159">MAX(IF(Sheet1!$A$1:$A$100=CONCATENATE("s.rule",A159,".tar.gz"), Sheet1!$E$1:$E$100))</f>
        <v>1503.4</v>
      </c>
      <c r="L159" s="3">
        <f>IFERROR(AVERAGEIF(Sheet1!$A$1:$A$100,CONCATENATE("s.rule",A159,".tar.gz"),Sheet1!$E$1:$E$100),"")</f>
        <v>1503.4</v>
      </c>
      <c r="M159" s="3">
        <f>COUNTIF(Sheet1!$A$1:$A$100,CONCATENATE("s.rule",A159,".tar.gz"))</f>
        <v>1</v>
      </c>
      <c r="N159" s="13">
        <f t="shared" ref="N159:N160" si="53">IF(K159&lt;&gt;"",K159-J159,"")</f>
        <v>-4.7999999999999545</v>
      </c>
    </row>
    <row r="160" spans="1:19" s="2" customFormat="1" x14ac:dyDescent="0.3">
      <c r="A160" s="12">
        <v>624</v>
      </c>
      <c r="B160" s="2">
        <v>4</v>
      </c>
      <c r="C160" s="10">
        <v>13</v>
      </c>
      <c r="D160" s="10">
        <v>21</v>
      </c>
      <c r="E160" s="10">
        <v>23</v>
      </c>
      <c r="F160" s="10">
        <v>47</v>
      </c>
      <c r="G160" s="2">
        <f t="shared" ref="G160:G161" si="54">SUM(B160:E160)</f>
        <v>61</v>
      </c>
      <c r="H160" s="2">
        <f t="shared" ref="H160:H161" si="55">SUM(B160:F160)-1</f>
        <v>107</v>
      </c>
      <c r="I160" s="7">
        <f t="shared" ref="I160:I161" si="56">(600-G160-1)/600</f>
        <v>0.89666666666666661</v>
      </c>
      <c r="J160" s="3">
        <v>1504.3</v>
      </c>
      <c r="K160" s="3">
        <f t="array" ref="K160">MAX(IF(Sheet1!$A$1:$A$100=CONCATENATE("s.rule",A160,".tar.gz"), Sheet1!$E$1:$E$100))</f>
        <v>1497.9</v>
      </c>
      <c r="L160" s="3">
        <f>IFERROR(AVERAGEIF(Sheet1!$A$1:$A$100,CONCATENATE("s.rule",A160,".tar.gz"),Sheet1!$E$1:$E$100),"")</f>
        <v>1484.7</v>
      </c>
      <c r="M160" s="3">
        <f>COUNTIF(Sheet1!$A$1:$A$100,CONCATENATE("s.rule",A160,".tar.gz"))</f>
        <v>2</v>
      </c>
      <c r="N160" s="13">
        <f t="shared" si="53"/>
        <v>-6.3999999999998636</v>
      </c>
    </row>
    <row r="161" spans="1:14" s="2" customFormat="1" x14ac:dyDescent="0.3">
      <c r="A161" s="12" t="s">
        <v>145</v>
      </c>
      <c r="B161" s="2">
        <v>4</v>
      </c>
      <c r="C161" s="10">
        <v>14</v>
      </c>
      <c r="D161" s="10">
        <v>25</v>
      </c>
      <c r="E161" s="10">
        <v>23</v>
      </c>
      <c r="F161" s="10">
        <v>46</v>
      </c>
      <c r="G161" s="2">
        <f t="shared" si="54"/>
        <v>66</v>
      </c>
      <c r="H161" s="2">
        <f t="shared" si="55"/>
        <v>111</v>
      </c>
      <c r="I161" s="7">
        <f t="shared" si="56"/>
        <v>0.88833333333333331</v>
      </c>
      <c r="J161" s="3">
        <v>1433.9</v>
      </c>
      <c r="K161" s="3">
        <f t="array" ref="K161">MAX(IF(Sheet1!$A$1:$A$100=CONCATENATE("s.rule",A161,".tar.gz"), Sheet1!$E$1:$E$100))</f>
        <v>1429.5</v>
      </c>
      <c r="L161" s="3">
        <f>IFERROR(AVERAGEIF(Sheet1!$A$1:$A$100,CONCATENATE("s.rule",A161,".tar.gz"),Sheet1!$E$1:$E$100),"")</f>
        <v>1429.5</v>
      </c>
      <c r="M161" s="3">
        <f>COUNTIF(Sheet1!$A$1:$A$100,CONCATENATE("s.rule",A161,".tar.gz"))</f>
        <v>1</v>
      </c>
      <c r="N161" s="13">
        <f t="shared" si="29"/>
        <v>-4.4000000000000909</v>
      </c>
    </row>
    <row r="162" spans="1:14" s="2" customFormat="1" x14ac:dyDescent="0.3">
      <c r="A162" s="8" t="s">
        <v>135</v>
      </c>
      <c r="B162" s="2">
        <v>3</v>
      </c>
      <c r="C162" s="10">
        <v>17</v>
      </c>
      <c r="D162" s="10">
        <v>15</v>
      </c>
      <c r="E162" s="10">
        <v>26</v>
      </c>
      <c r="F162" s="10">
        <v>46</v>
      </c>
      <c r="G162" s="2">
        <f t="shared" si="49"/>
        <v>61</v>
      </c>
      <c r="H162" s="2">
        <f t="shared" si="48"/>
        <v>106</v>
      </c>
      <c r="I162" s="7">
        <f t="shared" si="35"/>
        <v>0.89666666666666661</v>
      </c>
      <c r="J162" s="3">
        <v>1465.7</v>
      </c>
      <c r="K162" s="3">
        <f t="array" ref="K162">MAX(IF(Sheet1!$A$1:$A$100=CONCATENATE("s.rule",A162,".tar.gz"), Sheet1!$E$1:$E$100))</f>
        <v>1455.7</v>
      </c>
      <c r="L162" s="3">
        <f>IFERROR(AVERAGEIF(Sheet1!$A$1:$A$100,CONCATENATE("s.rule",A162,".tar.gz"),Sheet1!$E$1:$E$100),"")</f>
        <v>1455.7</v>
      </c>
      <c r="M162" s="3">
        <f>COUNTIF(Sheet1!$A$1:$A$100,CONCATENATE("s.rule",A162,".tar.gz"))</f>
        <v>1</v>
      </c>
      <c r="N162" s="13">
        <f t="shared" si="29"/>
        <v>-10</v>
      </c>
    </row>
    <row r="163" spans="1:14" s="2" customFormat="1" x14ac:dyDescent="0.3">
      <c r="A163" s="8" t="s">
        <v>136</v>
      </c>
      <c r="B163" s="2">
        <v>2</v>
      </c>
      <c r="C163" s="10">
        <v>24</v>
      </c>
      <c r="D163" s="10">
        <v>16</v>
      </c>
      <c r="E163" s="10">
        <v>27</v>
      </c>
      <c r="F163" s="10">
        <v>46</v>
      </c>
      <c r="G163" s="2">
        <f t="shared" si="49"/>
        <v>69</v>
      </c>
      <c r="H163" s="2">
        <f t="shared" si="48"/>
        <v>114</v>
      </c>
      <c r="I163" s="7">
        <f t="shared" si="35"/>
        <v>0.8833333333333333</v>
      </c>
      <c r="J163" s="3">
        <v>1517.8</v>
      </c>
      <c r="K163" s="3">
        <f t="array" ref="K163">MAX(IF(Sheet1!$A$1:$A$100=CONCATENATE("s.rule",A163,".tar.gz"), Sheet1!$E$1:$E$100))</f>
        <v>1510.9</v>
      </c>
      <c r="L163" s="3">
        <f>IFERROR(AVERAGEIF(Sheet1!$A$1:$A$100,CONCATENATE("s.rule",A163,".tar.gz"),Sheet1!$E$1:$E$100),"")</f>
        <v>1510.9</v>
      </c>
      <c r="M163" s="3">
        <f>COUNTIF(Sheet1!$A$1:$A$100,CONCATENATE("s.rule",A163,".tar.gz"))</f>
        <v>1</v>
      </c>
      <c r="N163" s="13">
        <f t="shared" si="29"/>
        <v>-6.8999999999998636</v>
      </c>
    </row>
    <row r="164" spans="1:14" s="2" customFormat="1" x14ac:dyDescent="0.3">
      <c r="A164" s="8" t="s">
        <v>139</v>
      </c>
      <c r="B164" s="2">
        <v>2</v>
      </c>
      <c r="C164" s="10">
        <v>23</v>
      </c>
      <c r="D164" s="10">
        <v>18</v>
      </c>
      <c r="E164" s="10">
        <v>27</v>
      </c>
      <c r="F164" s="10">
        <v>46</v>
      </c>
      <c r="G164" s="2">
        <f t="shared" ref="G164" si="57">SUM(B164:E164)</f>
        <v>70</v>
      </c>
      <c r="H164" s="2">
        <f t="shared" ref="H164" si="58">SUM(B164:F164)-1</f>
        <v>115</v>
      </c>
      <c r="I164" s="7">
        <f t="shared" si="35"/>
        <v>0.88166666666666671</v>
      </c>
      <c r="J164" s="3">
        <v>1494.4</v>
      </c>
      <c r="K164" s="3">
        <f t="array" ref="K164">MAX(IF(Sheet1!$A$1:$A$100=CONCATENATE("s.rule",A164,".tar.gz"), Sheet1!$E$1:$E$100))</f>
        <v>1494.4</v>
      </c>
      <c r="L164" s="3">
        <f>IFERROR(AVERAGEIF(Sheet1!$A$1:$A$100,CONCATENATE("s.rule",A164,".tar.gz"),Sheet1!$E$1:$E$100),"")</f>
        <v>1494.4</v>
      </c>
      <c r="M164" s="3">
        <f>COUNTIF(Sheet1!$A$1:$A$100,CONCATENATE("s.rule",A164,".tar.gz"))</f>
        <v>1</v>
      </c>
      <c r="N164" s="13">
        <f t="shared" si="29"/>
        <v>0</v>
      </c>
    </row>
    <row r="165" spans="1:14" s="2" customFormat="1" x14ac:dyDescent="0.3">
      <c r="A165" s="4"/>
      <c r="J165" s="3"/>
      <c r="K165" s="3"/>
      <c r="L165" s="3" t="str">
        <f>IFERROR(AVERAGEIF(Sheet1!$A$1:$A$100,CONCATENATE("s.rule",A165,".tar.gz"),Sheet1!$E$1:$E$100),"")</f>
        <v/>
      </c>
      <c r="M165" s="3"/>
      <c r="N165" s="13"/>
    </row>
    <row r="166" spans="1:14" s="2" customFormat="1" x14ac:dyDescent="0.3">
      <c r="A166" s="9" t="s">
        <v>99</v>
      </c>
      <c r="B166" s="2">
        <v>5</v>
      </c>
      <c r="C166" s="2">
        <v>41</v>
      </c>
      <c r="D166" s="2">
        <v>59</v>
      </c>
      <c r="E166" s="2">
        <v>59</v>
      </c>
      <c r="F166" s="2">
        <v>100</v>
      </c>
      <c r="G166" s="2">
        <f t="shared" ref="G166:G172" si="59">SUM(B166:E166)</f>
        <v>164</v>
      </c>
      <c r="H166" s="2">
        <f t="shared" ref="H166:H172" si="60">SUM(B166:F166)-1</f>
        <v>263</v>
      </c>
      <c r="I166" s="7">
        <f t="shared" ref="I166" si="61">(600-G166-1)/600</f>
        <v>0.72499999999999998</v>
      </c>
      <c r="J166" s="3">
        <v>1400</v>
      </c>
      <c r="K166" s="3">
        <f>_xlfn.IFNA(VLOOKUP(CONCATENATE("rule",A166,".tar.gz"),Sheet1!A:F,5,0),"")</f>
        <v>1400.4</v>
      </c>
      <c r="L166" s="3">
        <f>_xlfn.IFNA(VLOOKUP(CONCATENATE("rule",A166,".tar.gz"),Sheet1!A:F,5,0),"")</f>
        <v>1400.4</v>
      </c>
      <c r="M166" s="3"/>
      <c r="N166" s="13">
        <f>IF(K166&lt;&gt;"",K166-J166,"")</f>
        <v>0.40000000000009095</v>
      </c>
    </row>
    <row r="167" spans="1:14" x14ac:dyDescent="0.3">
      <c r="A167" s="9" t="s">
        <v>95</v>
      </c>
      <c r="B167">
        <v>6</v>
      </c>
      <c r="C167">
        <v>30</v>
      </c>
      <c r="D167" s="2">
        <v>41</v>
      </c>
      <c r="E167" s="2">
        <v>43</v>
      </c>
      <c r="F167" s="2">
        <v>70</v>
      </c>
      <c r="G167" s="2">
        <f t="shared" si="59"/>
        <v>120</v>
      </c>
      <c r="H167" s="2">
        <f t="shared" si="60"/>
        <v>189</v>
      </c>
      <c r="I167" s="7">
        <f t="shared" ref="I167:I172" si="62">(600-G167-1)/600</f>
        <v>0.79833333333333334</v>
      </c>
      <c r="J167" s="3" t="s">
        <v>104</v>
      </c>
      <c r="K167" s="3" t="str">
        <f>_xlfn.IFNA(VLOOKUP(CONCATENATE("s.rule",A167,".tar.gz"),Sheet1!A:F,5,0),"")</f>
        <v/>
      </c>
      <c r="L167" s="3" t="str">
        <f>IFERROR(AVERAGEIF(Sheet1!$A$1:$A$100,CONCATENATE("s.rule",A167,".tar.gz"),Sheet1!$E$1:$E$100),"")</f>
        <v/>
      </c>
    </row>
    <row r="168" spans="1:14" x14ac:dyDescent="0.3">
      <c r="A168" s="9" t="s">
        <v>96</v>
      </c>
      <c r="B168">
        <v>8</v>
      </c>
      <c r="C168">
        <v>29</v>
      </c>
      <c r="D168" s="2">
        <v>41</v>
      </c>
      <c r="E168" s="2">
        <v>40</v>
      </c>
      <c r="F168" s="2">
        <v>71</v>
      </c>
      <c r="G168" s="2">
        <f t="shared" si="59"/>
        <v>118</v>
      </c>
      <c r="H168" s="2">
        <f t="shared" si="60"/>
        <v>188</v>
      </c>
      <c r="I168" s="7">
        <f t="shared" si="62"/>
        <v>0.80166666666666664</v>
      </c>
      <c r="J168" s="3" t="s">
        <v>104</v>
      </c>
      <c r="K168" s="3" t="str">
        <f>_xlfn.IFNA(VLOOKUP(CONCATENATE("s.rule",A168,".tar.gz"),Sheet1!A:F,5,0),"")</f>
        <v/>
      </c>
      <c r="L168" s="3" t="str">
        <f>IFERROR(AVERAGEIF(Sheet1!$A$1:$A$100,CONCATENATE("s.rule",A168,".tar.gz"),Sheet1!$E$1:$E$100),"")</f>
        <v/>
      </c>
    </row>
    <row r="169" spans="1:14" x14ac:dyDescent="0.3">
      <c r="A169" s="9" t="s">
        <v>97</v>
      </c>
      <c r="B169">
        <v>7</v>
      </c>
      <c r="C169">
        <v>30</v>
      </c>
      <c r="D169" s="2">
        <v>39</v>
      </c>
      <c r="E169" s="2">
        <v>43</v>
      </c>
      <c r="F169" s="2">
        <v>72</v>
      </c>
      <c r="G169" s="2">
        <f t="shared" si="59"/>
        <v>119</v>
      </c>
      <c r="H169" s="2">
        <f t="shared" si="60"/>
        <v>190</v>
      </c>
      <c r="I169" s="7">
        <f t="shared" si="62"/>
        <v>0.8</v>
      </c>
      <c r="J169" s="3" t="s">
        <v>104</v>
      </c>
      <c r="K169" s="3" t="str">
        <f>_xlfn.IFNA(VLOOKUP(CONCATENATE("s.rule",A169,".tar.gz"),Sheet1!A:F,5,0),"")</f>
        <v/>
      </c>
      <c r="L169" s="3" t="str">
        <f>IFERROR(AVERAGEIF(Sheet1!$A$1:$A$100,CONCATENATE("s.rule",A169,".tar.gz"),Sheet1!$E$1:$E$100),"")</f>
        <v/>
      </c>
    </row>
    <row r="170" spans="1:14" x14ac:dyDescent="0.3">
      <c r="A170" s="9" t="s">
        <v>98</v>
      </c>
      <c r="B170">
        <v>8</v>
      </c>
      <c r="C170">
        <v>28</v>
      </c>
      <c r="D170" s="2">
        <v>35</v>
      </c>
      <c r="E170" s="2">
        <v>40</v>
      </c>
      <c r="F170" s="2">
        <v>63</v>
      </c>
      <c r="G170" s="2">
        <f t="shared" si="59"/>
        <v>111</v>
      </c>
      <c r="H170" s="2">
        <f t="shared" si="60"/>
        <v>173</v>
      </c>
      <c r="I170" s="7">
        <f t="shared" si="62"/>
        <v>0.81333333333333335</v>
      </c>
      <c r="J170" s="3">
        <v>1490.7</v>
      </c>
      <c r="K170" s="3">
        <f t="array" ref="K170">MAX(IF(Sheet1!$A$1:$A$100=CONCATENATE("s.rule",A170,".tar.gz"), Sheet1!$E$1:$E$100))</f>
        <v>1484.4</v>
      </c>
      <c r="L170" s="3">
        <f>IFERROR(AVERAGEIF(Sheet1!$A$1:$A$100,CONCATENATE("s.rule",A170,".tar.gz"),Sheet1!$E$1:$E$100),"")</f>
        <v>1484.4</v>
      </c>
      <c r="N170" s="13">
        <f>IF(K170&lt;&gt;"",K170-J170,"")</f>
        <v>-6.2999999999999545</v>
      </c>
    </row>
    <row r="171" spans="1:14" x14ac:dyDescent="0.3">
      <c r="A171" s="9" t="s">
        <v>105</v>
      </c>
      <c r="B171">
        <v>4</v>
      </c>
      <c r="C171">
        <v>16</v>
      </c>
      <c r="D171" s="2">
        <v>29</v>
      </c>
      <c r="E171" s="2">
        <v>38</v>
      </c>
      <c r="F171" s="2">
        <v>52</v>
      </c>
      <c r="G171" s="2">
        <f t="shared" si="59"/>
        <v>87</v>
      </c>
      <c r="H171" s="2">
        <f t="shared" si="60"/>
        <v>138</v>
      </c>
      <c r="I171" s="7">
        <f t="shared" si="62"/>
        <v>0.85333333333333339</v>
      </c>
      <c r="J171" s="3">
        <v>1480.7</v>
      </c>
      <c r="K171" s="3">
        <f t="array" ref="K171">MAX(IF(Sheet1!$A$1:$A$100=CONCATENATE("s.rule",A171,".tar.gz"), Sheet1!$E$1:$E$100))</f>
        <v>1475.3</v>
      </c>
      <c r="L171" s="3">
        <f>IFERROR(AVERAGEIF(Sheet1!$A$1:$A$100,CONCATENATE("s.rule",A171,".tar.gz"),Sheet1!$E$1:$E$100),"")</f>
        <v>1475.3</v>
      </c>
      <c r="N171" s="13">
        <f>IF(K171&lt;&gt;"",K171-J171,"")</f>
        <v>-5.4000000000000909</v>
      </c>
    </row>
    <row r="172" spans="1:14" x14ac:dyDescent="0.3">
      <c r="A172" s="9" t="s">
        <v>110</v>
      </c>
      <c r="B172">
        <v>8</v>
      </c>
      <c r="C172">
        <v>20</v>
      </c>
      <c r="D172" s="2">
        <v>23</v>
      </c>
      <c r="E172" s="2">
        <v>35</v>
      </c>
      <c r="F172" s="2">
        <v>54</v>
      </c>
      <c r="G172" s="2">
        <f t="shared" si="59"/>
        <v>86</v>
      </c>
      <c r="H172" s="2">
        <f t="shared" si="60"/>
        <v>139</v>
      </c>
      <c r="I172" s="7">
        <f t="shared" si="62"/>
        <v>0.85499999999999998</v>
      </c>
      <c r="J172" s="3">
        <v>1472.5</v>
      </c>
      <c r="K172" s="3">
        <f t="array" ref="K172">MAX(IF(Sheet1!$A$1:$A$100=CONCATENATE("s.rule",A172,".tar.gz"), Sheet1!$E$1:$E$100))</f>
        <v>1462.6</v>
      </c>
      <c r="L172" s="3">
        <f>IFERROR(AVERAGEIF(Sheet1!$A$1:$A$100,CONCATENATE("s.rule",A172,".tar.gz"),Sheet1!$E$1:$E$100),"")</f>
        <v>1462.6</v>
      </c>
      <c r="N172" s="13">
        <f>IF(K172&lt;&gt;"",K172-J172,"")</f>
        <v>-9.9000000000000909</v>
      </c>
    </row>
  </sheetData>
  <conditionalFormatting sqref="N1 M146:M150 M1:M144 M164:M1048576 M156:M158 M161:M162 M152:M153">
    <cfRule type="cellIs" dxfId="337" priority="543" operator="greaterThan">
      <formula>10000</formula>
    </cfRule>
    <cfRule type="cellIs" dxfId="336" priority="544" operator="greaterThanOrEqual">
      <formula>1500</formula>
    </cfRule>
    <cfRule type="cellIs" dxfId="335" priority="545" operator="greaterThanOrEqual">
      <formula>1450</formula>
    </cfRule>
    <cfRule type="cellIs" dxfId="334" priority="546" operator="greaterThan">
      <formula>1400</formula>
    </cfRule>
  </conditionalFormatting>
  <conditionalFormatting sqref="M148:M149">
    <cfRule type="cellIs" dxfId="333" priority="539" operator="greaterThan">
      <formula>10000</formula>
    </cfRule>
    <cfRule type="cellIs" dxfId="332" priority="540" operator="greaterThanOrEqual">
      <formula>1500</formula>
    </cfRule>
    <cfRule type="cellIs" dxfId="331" priority="541" operator="greaterThanOrEqual">
      <formula>1450</formula>
    </cfRule>
    <cfRule type="cellIs" dxfId="330" priority="542" operator="greaterThan">
      <formula>1400</formula>
    </cfRule>
  </conditionalFormatting>
  <conditionalFormatting sqref="N1 M146:M150 M1:M144 M164:M1048576 M156:M158 M161:M162 M152:M153">
    <cfRule type="cellIs" dxfId="329" priority="534" operator="greaterThan">
      <formula>10000</formula>
    </cfRule>
    <cfRule type="cellIs" dxfId="328" priority="535" operator="greaterThanOrEqual">
      <formula>1500</formula>
    </cfRule>
    <cfRule type="cellIs" dxfId="327" priority="536" operator="greaterThanOrEqual">
      <formula>1475</formula>
    </cfRule>
    <cfRule type="cellIs" dxfId="326" priority="537" operator="greaterThanOrEqual">
      <formula>1450</formula>
    </cfRule>
    <cfRule type="cellIs" dxfId="325" priority="538" operator="greaterThanOrEqual">
      <formula>1400</formula>
    </cfRule>
  </conditionalFormatting>
  <conditionalFormatting sqref="M156">
    <cfRule type="cellIs" dxfId="324" priority="495" operator="greaterThan">
      <formula>10000</formula>
    </cfRule>
    <cfRule type="cellIs" dxfId="323" priority="496" operator="greaterThanOrEqual">
      <formula>1500</formula>
    </cfRule>
    <cfRule type="cellIs" dxfId="322" priority="497" operator="greaterThanOrEqual">
      <formula>1450</formula>
    </cfRule>
    <cfRule type="cellIs" dxfId="321" priority="498" operator="greaterThan">
      <formula>1400</formula>
    </cfRule>
  </conditionalFormatting>
  <conditionalFormatting sqref="M156">
    <cfRule type="cellIs" dxfId="320" priority="490" operator="greaterThan">
      <formula>10000</formula>
    </cfRule>
    <cfRule type="cellIs" dxfId="319" priority="491" operator="greaterThanOrEqual">
      <formula>1500</formula>
    </cfRule>
    <cfRule type="cellIs" dxfId="318" priority="492" operator="greaterThanOrEqual">
      <formula>1475</formula>
    </cfRule>
    <cfRule type="cellIs" dxfId="317" priority="493" operator="greaterThanOrEqual">
      <formula>1450</formula>
    </cfRule>
    <cfRule type="cellIs" dxfId="316" priority="494" operator="greaterThanOrEqual">
      <formula>1400</formula>
    </cfRule>
  </conditionalFormatting>
  <conditionalFormatting sqref="M157">
    <cfRule type="cellIs" dxfId="315" priority="486" operator="greaterThan">
      <formula>10000</formula>
    </cfRule>
    <cfRule type="cellIs" dxfId="314" priority="487" operator="greaterThanOrEqual">
      <formula>1500</formula>
    </cfRule>
    <cfRule type="cellIs" dxfId="313" priority="488" operator="greaterThanOrEqual">
      <formula>1450</formula>
    </cfRule>
    <cfRule type="cellIs" dxfId="312" priority="489" operator="greaterThan">
      <formula>1400</formula>
    </cfRule>
  </conditionalFormatting>
  <conditionalFormatting sqref="M157">
    <cfRule type="cellIs" dxfId="311" priority="481" operator="greaterThan">
      <formula>10000</formula>
    </cfRule>
    <cfRule type="cellIs" dxfId="310" priority="482" operator="greaterThanOrEqual">
      <formula>1500</formula>
    </cfRule>
    <cfRule type="cellIs" dxfId="309" priority="483" operator="greaterThanOrEqual">
      <formula>1475</formula>
    </cfRule>
    <cfRule type="cellIs" dxfId="308" priority="484" operator="greaterThanOrEqual">
      <formula>1450</formula>
    </cfRule>
    <cfRule type="cellIs" dxfId="307" priority="485" operator="greaterThanOrEqual">
      <formula>1400</formula>
    </cfRule>
  </conditionalFormatting>
  <conditionalFormatting sqref="M164">
    <cfRule type="cellIs" dxfId="306" priority="477" operator="greaterThan">
      <formula>10000</formula>
    </cfRule>
    <cfRule type="cellIs" dxfId="305" priority="478" operator="greaterThanOrEqual">
      <formula>1500</formula>
    </cfRule>
    <cfRule type="cellIs" dxfId="304" priority="479" operator="greaterThanOrEqual">
      <formula>1450</formula>
    </cfRule>
    <cfRule type="cellIs" dxfId="303" priority="480" operator="greaterThan">
      <formula>1400</formula>
    </cfRule>
  </conditionalFormatting>
  <conditionalFormatting sqref="M164">
    <cfRule type="cellIs" dxfId="302" priority="472" operator="greaterThan">
      <formula>10000</formula>
    </cfRule>
    <cfRule type="cellIs" dxfId="301" priority="473" operator="greaterThanOrEqual">
      <formula>1500</formula>
    </cfRule>
    <cfRule type="cellIs" dxfId="300" priority="474" operator="greaterThanOrEqual">
      <formula>1475</formula>
    </cfRule>
    <cfRule type="cellIs" dxfId="299" priority="475" operator="greaterThanOrEqual">
      <formula>1450</formula>
    </cfRule>
    <cfRule type="cellIs" dxfId="298" priority="476" operator="greaterThanOrEqual">
      <formula>1400</formula>
    </cfRule>
  </conditionalFormatting>
  <conditionalFormatting sqref="M166">
    <cfRule type="cellIs" dxfId="297" priority="342" operator="greaterThan">
      <formula>10000</formula>
    </cfRule>
    <cfRule type="cellIs" dxfId="296" priority="343" operator="greaterThanOrEqual">
      <formula>1500</formula>
    </cfRule>
    <cfRule type="cellIs" dxfId="295" priority="344" operator="greaterThanOrEqual">
      <formula>1450</formula>
    </cfRule>
    <cfRule type="cellIs" dxfId="294" priority="345" operator="greaterThan">
      <formula>1400</formula>
    </cfRule>
  </conditionalFormatting>
  <conditionalFormatting sqref="M166">
    <cfRule type="cellIs" dxfId="293" priority="337" operator="greaterThan">
      <formula>10000</formula>
    </cfRule>
    <cfRule type="cellIs" dxfId="292" priority="338" operator="greaterThanOrEqual">
      <formula>1500</formula>
    </cfRule>
    <cfRule type="cellIs" dxfId="291" priority="339" operator="greaterThanOrEqual">
      <formula>1475</formula>
    </cfRule>
    <cfRule type="cellIs" dxfId="290" priority="340" operator="greaterThanOrEqual">
      <formula>1450</formula>
    </cfRule>
    <cfRule type="cellIs" dxfId="289" priority="341" operator="greaterThanOrEqual">
      <formula>1400</formula>
    </cfRule>
  </conditionalFormatting>
  <conditionalFormatting sqref="M158">
    <cfRule type="cellIs" dxfId="288" priority="324" operator="greaterThan">
      <formula>10000</formula>
    </cfRule>
    <cfRule type="cellIs" dxfId="287" priority="325" operator="greaterThanOrEqual">
      <formula>1500</formula>
    </cfRule>
    <cfRule type="cellIs" dxfId="286" priority="326" operator="greaterThanOrEqual">
      <formula>1450</formula>
    </cfRule>
    <cfRule type="cellIs" dxfId="285" priority="327" operator="greaterThan">
      <formula>1400</formula>
    </cfRule>
  </conditionalFormatting>
  <conditionalFormatting sqref="M158">
    <cfRule type="cellIs" dxfId="284" priority="319" operator="greaterThan">
      <formula>10000</formula>
    </cfRule>
    <cfRule type="cellIs" dxfId="283" priority="320" operator="greaterThanOrEqual">
      <formula>1500</formula>
    </cfRule>
    <cfRule type="cellIs" dxfId="282" priority="321" operator="greaterThanOrEqual">
      <formula>1475</formula>
    </cfRule>
    <cfRule type="cellIs" dxfId="281" priority="322" operator="greaterThanOrEqual">
      <formula>1450</formula>
    </cfRule>
    <cfRule type="cellIs" dxfId="280" priority="323" operator="greaterThanOrEqual">
      <formula>1400</formula>
    </cfRule>
  </conditionalFormatting>
  <conditionalFormatting sqref="M158">
    <cfRule type="cellIs" dxfId="279" priority="315" operator="greaterThan">
      <formula>10000</formula>
    </cfRule>
    <cfRule type="cellIs" dxfId="278" priority="316" operator="greaterThanOrEqual">
      <formula>1500</formula>
    </cfRule>
    <cfRule type="cellIs" dxfId="277" priority="317" operator="greaterThanOrEqual">
      <formula>1450</formula>
    </cfRule>
    <cfRule type="cellIs" dxfId="276" priority="318" operator="greaterThan">
      <formula>1400</formula>
    </cfRule>
  </conditionalFormatting>
  <conditionalFormatting sqref="M158">
    <cfRule type="cellIs" dxfId="275" priority="310" operator="greaterThan">
      <formula>10000</formula>
    </cfRule>
    <cfRule type="cellIs" dxfId="274" priority="311" operator="greaterThanOrEqual">
      <formula>1500</formula>
    </cfRule>
    <cfRule type="cellIs" dxfId="273" priority="312" operator="greaterThanOrEqual">
      <formula>1475</formula>
    </cfRule>
    <cfRule type="cellIs" dxfId="272" priority="313" operator="greaterThanOrEqual">
      <formula>1450</formula>
    </cfRule>
    <cfRule type="cellIs" dxfId="271" priority="314" operator="greaterThanOrEqual">
      <formula>1400</formula>
    </cfRule>
  </conditionalFormatting>
  <conditionalFormatting sqref="M161">
    <cfRule type="cellIs" dxfId="270" priority="297" operator="greaterThan">
      <formula>10000</formula>
    </cfRule>
    <cfRule type="cellIs" dxfId="269" priority="298" operator="greaterThanOrEqual">
      <formula>1500</formula>
    </cfRule>
    <cfRule type="cellIs" dxfId="268" priority="299" operator="greaterThanOrEqual">
      <formula>1450</formula>
    </cfRule>
    <cfRule type="cellIs" dxfId="267" priority="300" operator="greaterThan">
      <formula>1400</formula>
    </cfRule>
  </conditionalFormatting>
  <conditionalFormatting sqref="M161">
    <cfRule type="cellIs" dxfId="266" priority="292" operator="greaterThan">
      <formula>10000</formula>
    </cfRule>
    <cfRule type="cellIs" dxfId="265" priority="293" operator="greaterThanOrEqual">
      <formula>1500</formula>
    </cfRule>
    <cfRule type="cellIs" dxfId="264" priority="294" operator="greaterThanOrEqual">
      <formula>1475</formula>
    </cfRule>
    <cfRule type="cellIs" dxfId="263" priority="295" operator="greaterThanOrEqual">
      <formula>1450</formula>
    </cfRule>
    <cfRule type="cellIs" dxfId="262" priority="296" operator="greaterThanOrEqual">
      <formula>1400</formula>
    </cfRule>
  </conditionalFormatting>
  <conditionalFormatting sqref="M161">
    <cfRule type="cellIs" dxfId="261" priority="288" operator="greaterThan">
      <formula>10000</formula>
    </cfRule>
    <cfRule type="cellIs" dxfId="260" priority="289" operator="greaterThanOrEqual">
      <formula>1500</formula>
    </cfRule>
    <cfRule type="cellIs" dxfId="259" priority="290" operator="greaterThanOrEqual">
      <formula>1450</formula>
    </cfRule>
    <cfRule type="cellIs" dxfId="258" priority="291" operator="greaterThan">
      <formula>1400</formula>
    </cfRule>
  </conditionalFormatting>
  <conditionalFormatting sqref="M161">
    <cfRule type="cellIs" dxfId="257" priority="283" operator="greaterThan">
      <formula>10000</formula>
    </cfRule>
    <cfRule type="cellIs" dxfId="256" priority="284" operator="greaterThanOrEqual">
      <formula>1500</formula>
    </cfRule>
    <cfRule type="cellIs" dxfId="255" priority="285" operator="greaterThanOrEqual">
      <formula>1475</formula>
    </cfRule>
    <cfRule type="cellIs" dxfId="254" priority="286" operator="greaterThanOrEqual">
      <formula>1450</formula>
    </cfRule>
    <cfRule type="cellIs" dxfId="253" priority="287" operator="greaterThanOrEqual">
      <formula>1400</formula>
    </cfRule>
  </conditionalFormatting>
  <conditionalFormatting sqref="M162">
    <cfRule type="cellIs" dxfId="252" priority="270" operator="greaterThan">
      <formula>10000</formula>
    </cfRule>
    <cfRule type="cellIs" dxfId="251" priority="271" operator="greaterThanOrEqual">
      <formula>1500</formula>
    </cfRule>
    <cfRule type="cellIs" dxfId="250" priority="272" operator="greaterThanOrEqual">
      <formula>1450</formula>
    </cfRule>
    <cfRule type="cellIs" dxfId="249" priority="273" operator="greaterThan">
      <formula>1400</formula>
    </cfRule>
  </conditionalFormatting>
  <conditionalFormatting sqref="M162">
    <cfRule type="cellIs" dxfId="248" priority="265" operator="greaterThan">
      <formula>10000</formula>
    </cfRule>
    <cfRule type="cellIs" dxfId="247" priority="266" operator="greaterThanOrEqual">
      <formula>1500</formula>
    </cfRule>
    <cfRule type="cellIs" dxfId="246" priority="267" operator="greaterThanOrEqual">
      <formula>1475</formula>
    </cfRule>
    <cfRule type="cellIs" dxfId="245" priority="268" operator="greaterThanOrEqual">
      <formula>1450</formula>
    </cfRule>
    <cfRule type="cellIs" dxfId="244" priority="269" operator="greaterThanOrEqual">
      <formula>1400</formula>
    </cfRule>
  </conditionalFormatting>
  <conditionalFormatting sqref="M162">
    <cfRule type="cellIs" dxfId="243" priority="261" operator="greaterThan">
      <formula>10000</formula>
    </cfRule>
    <cfRule type="cellIs" dxfId="242" priority="262" operator="greaterThanOrEqual">
      <formula>1500</formula>
    </cfRule>
    <cfRule type="cellIs" dxfId="241" priority="263" operator="greaterThanOrEqual">
      <formula>1450</formula>
    </cfRule>
    <cfRule type="cellIs" dxfId="240" priority="264" operator="greaterThan">
      <formula>1400</formula>
    </cfRule>
  </conditionalFormatting>
  <conditionalFormatting sqref="M162">
    <cfRule type="cellIs" dxfId="239" priority="256" operator="greaterThan">
      <formula>10000</formula>
    </cfRule>
    <cfRule type="cellIs" dxfId="238" priority="257" operator="greaterThanOrEqual">
      <formula>1500</formula>
    </cfRule>
    <cfRule type="cellIs" dxfId="237" priority="258" operator="greaterThanOrEqual">
      <formula>1475</formula>
    </cfRule>
    <cfRule type="cellIs" dxfId="236" priority="259" operator="greaterThanOrEqual">
      <formula>1450</formula>
    </cfRule>
    <cfRule type="cellIs" dxfId="235" priority="260" operator="greaterThanOrEqual">
      <formula>1400</formula>
    </cfRule>
  </conditionalFormatting>
  <conditionalFormatting sqref="M145">
    <cfRule type="cellIs" dxfId="234" priority="238" operator="greaterThan">
      <formula>10000</formula>
    </cfRule>
    <cfRule type="cellIs" dxfId="233" priority="239" operator="greaterThanOrEqual">
      <formula>1500</formula>
    </cfRule>
    <cfRule type="cellIs" dxfId="232" priority="240" operator="greaterThanOrEqual">
      <formula>1475</formula>
    </cfRule>
    <cfRule type="cellIs" dxfId="231" priority="241" operator="greaterThanOrEqual">
      <formula>1450</formula>
    </cfRule>
    <cfRule type="cellIs" dxfId="230" priority="242" operator="greaterThanOrEqual">
      <formula>1400</formula>
    </cfRule>
  </conditionalFormatting>
  <conditionalFormatting sqref="M145">
    <cfRule type="cellIs" dxfId="229" priority="243" operator="greaterThan">
      <formula>10000</formula>
    </cfRule>
    <cfRule type="cellIs" dxfId="228" priority="244" operator="greaterThanOrEqual">
      <formula>1500</formula>
    </cfRule>
    <cfRule type="cellIs" dxfId="227" priority="245" operator="greaterThanOrEqual">
      <formula>1450</formula>
    </cfRule>
    <cfRule type="cellIs" dxfId="226" priority="246" operator="greaterThan">
      <formula>1400</formula>
    </cfRule>
  </conditionalFormatting>
  <conditionalFormatting sqref="M163">
    <cfRule type="cellIs" dxfId="225" priority="234" operator="greaterThan">
      <formula>10000</formula>
    </cfRule>
    <cfRule type="cellIs" dxfId="224" priority="235" operator="greaterThanOrEqual">
      <formula>1500</formula>
    </cfRule>
    <cfRule type="cellIs" dxfId="223" priority="236" operator="greaterThanOrEqual">
      <formula>1450</formula>
    </cfRule>
    <cfRule type="cellIs" dxfId="222" priority="237" operator="greaterThan">
      <formula>1400</formula>
    </cfRule>
  </conditionalFormatting>
  <conditionalFormatting sqref="M163">
    <cfRule type="cellIs" dxfId="221" priority="229" operator="greaterThan">
      <formula>10000</formula>
    </cfRule>
    <cfRule type="cellIs" dxfId="220" priority="230" operator="greaterThanOrEqual">
      <formula>1500</formula>
    </cfRule>
    <cfRule type="cellIs" dxfId="219" priority="231" operator="greaterThanOrEqual">
      <formula>1475</formula>
    </cfRule>
    <cfRule type="cellIs" dxfId="218" priority="232" operator="greaterThanOrEqual">
      <formula>1450</formula>
    </cfRule>
    <cfRule type="cellIs" dxfId="217" priority="233" operator="greaterThanOrEqual">
      <formula>1400</formula>
    </cfRule>
  </conditionalFormatting>
  <conditionalFormatting sqref="M163">
    <cfRule type="cellIs" dxfId="216" priority="225" operator="greaterThan">
      <formula>10000</formula>
    </cfRule>
    <cfRule type="cellIs" dxfId="215" priority="226" operator="greaterThanOrEqual">
      <formula>1500</formula>
    </cfRule>
    <cfRule type="cellIs" dxfId="214" priority="227" operator="greaterThanOrEqual">
      <formula>1450</formula>
    </cfRule>
    <cfRule type="cellIs" dxfId="213" priority="228" operator="greaterThan">
      <formula>1400</formula>
    </cfRule>
  </conditionalFormatting>
  <conditionalFormatting sqref="M163">
    <cfRule type="cellIs" dxfId="212" priority="220" operator="greaterThan">
      <formula>10000</formula>
    </cfRule>
    <cfRule type="cellIs" dxfId="211" priority="221" operator="greaterThanOrEqual">
      <formula>1500</formula>
    </cfRule>
    <cfRule type="cellIs" dxfId="210" priority="222" operator="greaterThanOrEqual">
      <formula>1475</formula>
    </cfRule>
    <cfRule type="cellIs" dxfId="209" priority="223" operator="greaterThanOrEqual">
      <formula>1450</formula>
    </cfRule>
    <cfRule type="cellIs" dxfId="208" priority="224" operator="greaterThanOrEqual">
      <formula>1400</formula>
    </cfRule>
  </conditionalFormatting>
  <conditionalFormatting sqref="J1:J150 J156:J158 J161:J1048576 J152:J153">
    <cfRule type="cellIs" dxfId="207" priority="207" operator="greaterThan">
      <formula>10000</formula>
    </cfRule>
  </conditionalFormatting>
  <conditionalFormatting sqref="J1:J150 J156:J158 J161:J1048576 J152:J153">
    <cfRule type="cellIs" dxfId="206" priority="202" operator="greaterThan">
      <formula>10000</formula>
    </cfRule>
    <cfRule type="cellIs" dxfId="205" priority="203" operator="greaterThanOrEqual">
      <formula>1550</formula>
    </cfRule>
    <cfRule type="cellIs" dxfId="204" priority="204" operator="greaterThanOrEqual">
      <formula>1525</formula>
    </cfRule>
    <cfRule type="cellIs" dxfId="203" priority="205" operator="greaterThanOrEqual">
      <formula>1475</formula>
    </cfRule>
    <cfRule type="cellIs" dxfId="202" priority="206" operator="greaterThanOrEqual">
      <formula>1400</formula>
    </cfRule>
  </conditionalFormatting>
  <conditionalFormatting sqref="K1:K150 K156:K158 K161:K1048576 K152:K153">
    <cfRule type="cellIs" dxfId="201" priority="201" operator="greaterThan">
      <formula>10000</formula>
    </cfRule>
  </conditionalFormatting>
  <conditionalFormatting sqref="K1:K150 K156:K158 K161:K1048576 K152:K153">
    <cfRule type="cellIs" dxfId="200" priority="196" operator="greaterThan">
      <formula>10000</formula>
    </cfRule>
    <cfRule type="cellIs" dxfId="199" priority="197" operator="greaterThanOrEqual">
      <formula>1550</formula>
    </cfRule>
    <cfRule type="cellIs" dxfId="198" priority="198" operator="greaterThanOrEqual">
      <formula>1525</formula>
    </cfRule>
    <cfRule type="cellIs" dxfId="197" priority="199" operator="greaterThanOrEqual">
      <formula>1475</formula>
    </cfRule>
    <cfRule type="cellIs" dxfId="196" priority="200" operator="greaterThanOrEqual">
      <formula>1400</formula>
    </cfRule>
  </conditionalFormatting>
  <conditionalFormatting sqref="L1:L150 L156:L158 L161:L1048576 L152:L153">
    <cfRule type="cellIs" dxfId="195" priority="195" operator="greaterThan">
      <formula>10000</formula>
    </cfRule>
  </conditionalFormatting>
  <conditionalFormatting sqref="L1:L150 L156:L158 L161:L1048576 L152:L153">
    <cfRule type="cellIs" dxfId="194" priority="190" operator="greaterThan">
      <formula>10000</formula>
    </cfRule>
    <cfRule type="cellIs" dxfId="193" priority="191" operator="greaterThanOrEqual">
      <formula>1550</formula>
    </cfRule>
    <cfRule type="cellIs" dxfId="192" priority="192" operator="greaterThanOrEqual">
      <formula>1525</formula>
    </cfRule>
    <cfRule type="cellIs" dxfId="191" priority="193" operator="greaterThanOrEqual">
      <formula>1475</formula>
    </cfRule>
    <cfRule type="cellIs" dxfId="190" priority="194" operator="greaterThanOrEqual">
      <formula>1400</formula>
    </cfRule>
  </conditionalFormatting>
  <conditionalFormatting sqref="M155">
    <cfRule type="cellIs" dxfId="189" priority="186" operator="greaterThan">
      <formula>10000</formula>
    </cfRule>
    <cfRule type="cellIs" dxfId="188" priority="187" operator="greaterThanOrEqual">
      <formula>1500</formula>
    </cfRule>
    <cfRule type="cellIs" dxfId="187" priority="188" operator="greaterThanOrEqual">
      <formula>1450</formula>
    </cfRule>
    <cfRule type="cellIs" dxfId="186" priority="189" operator="greaterThan">
      <formula>1400</formula>
    </cfRule>
  </conditionalFormatting>
  <conditionalFormatting sqref="M155">
    <cfRule type="cellIs" dxfId="185" priority="181" operator="greaterThan">
      <formula>10000</formula>
    </cfRule>
    <cfRule type="cellIs" dxfId="184" priority="182" operator="greaterThanOrEqual">
      <formula>1500</formula>
    </cfRule>
    <cfRule type="cellIs" dxfId="183" priority="183" operator="greaterThanOrEqual">
      <formula>1475</formula>
    </cfRule>
    <cfRule type="cellIs" dxfId="182" priority="184" operator="greaterThanOrEqual">
      <formula>1450</formula>
    </cfRule>
    <cfRule type="cellIs" dxfId="181" priority="185" operator="greaterThanOrEqual">
      <formula>1400</formula>
    </cfRule>
  </conditionalFormatting>
  <conditionalFormatting sqref="M155">
    <cfRule type="cellIs" dxfId="180" priority="177" operator="greaterThan">
      <formula>10000</formula>
    </cfRule>
    <cfRule type="cellIs" dxfId="179" priority="178" operator="greaterThanOrEqual">
      <formula>1500</formula>
    </cfRule>
    <cfRule type="cellIs" dxfId="178" priority="179" operator="greaterThanOrEqual">
      <formula>1450</formula>
    </cfRule>
    <cfRule type="cellIs" dxfId="177" priority="180" operator="greaterThan">
      <formula>1400</formula>
    </cfRule>
  </conditionalFormatting>
  <conditionalFormatting sqref="M155">
    <cfRule type="cellIs" dxfId="176" priority="172" operator="greaterThan">
      <formula>10000</formula>
    </cfRule>
    <cfRule type="cellIs" dxfId="175" priority="173" operator="greaterThanOrEqual">
      <formula>1500</formula>
    </cfRule>
    <cfRule type="cellIs" dxfId="174" priority="174" operator="greaterThanOrEqual">
      <formula>1475</formula>
    </cfRule>
    <cfRule type="cellIs" dxfId="173" priority="175" operator="greaterThanOrEqual">
      <formula>1450</formula>
    </cfRule>
    <cfRule type="cellIs" dxfId="172" priority="176" operator="greaterThanOrEqual">
      <formula>1400</formula>
    </cfRule>
  </conditionalFormatting>
  <conditionalFormatting sqref="J155">
    <cfRule type="cellIs" dxfId="171" priority="171" operator="greaterThan">
      <formula>10000</formula>
    </cfRule>
  </conditionalFormatting>
  <conditionalFormatting sqref="J155">
    <cfRule type="cellIs" dxfId="170" priority="166" operator="greaterThan">
      <formula>10000</formula>
    </cfRule>
    <cfRule type="cellIs" dxfId="169" priority="167" operator="greaterThanOrEqual">
      <formula>1550</formula>
    </cfRule>
    <cfRule type="cellIs" dxfId="168" priority="168" operator="greaterThanOrEqual">
      <formula>1525</formula>
    </cfRule>
    <cfRule type="cellIs" dxfId="167" priority="169" operator="greaterThanOrEqual">
      <formula>1475</formula>
    </cfRule>
    <cfRule type="cellIs" dxfId="166" priority="170" operator="greaterThanOrEqual">
      <formula>1400</formula>
    </cfRule>
  </conditionalFormatting>
  <conditionalFormatting sqref="K155">
    <cfRule type="cellIs" dxfId="165" priority="165" operator="greaterThan">
      <formula>10000</formula>
    </cfRule>
  </conditionalFormatting>
  <conditionalFormatting sqref="K155">
    <cfRule type="cellIs" dxfId="164" priority="160" operator="greaterThan">
      <formula>10000</formula>
    </cfRule>
    <cfRule type="cellIs" dxfId="163" priority="161" operator="greaterThanOrEqual">
      <formula>1550</formula>
    </cfRule>
    <cfRule type="cellIs" dxfId="162" priority="162" operator="greaterThanOrEqual">
      <formula>1525</formula>
    </cfRule>
    <cfRule type="cellIs" dxfId="161" priority="163" operator="greaterThanOrEqual">
      <formula>1475</formula>
    </cfRule>
    <cfRule type="cellIs" dxfId="160" priority="164" operator="greaterThanOrEqual">
      <formula>1400</formula>
    </cfRule>
  </conditionalFormatting>
  <conditionalFormatting sqref="L155">
    <cfRule type="cellIs" dxfId="159" priority="159" operator="greaterThan">
      <formula>10000</formula>
    </cfRule>
  </conditionalFormatting>
  <conditionalFormatting sqref="L155">
    <cfRule type="cellIs" dxfId="158" priority="154" operator="greaterThan">
      <formula>10000</formula>
    </cfRule>
    <cfRule type="cellIs" dxfId="157" priority="155" operator="greaterThanOrEqual">
      <formula>1550</formula>
    </cfRule>
    <cfRule type="cellIs" dxfId="156" priority="156" operator="greaterThanOrEqual">
      <formula>1525</formula>
    </cfRule>
    <cfRule type="cellIs" dxfId="155" priority="157" operator="greaterThanOrEqual">
      <formula>1475</formula>
    </cfRule>
    <cfRule type="cellIs" dxfId="154" priority="158" operator="greaterThanOrEqual">
      <formula>1400</formula>
    </cfRule>
  </conditionalFormatting>
  <conditionalFormatting sqref="M154">
    <cfRule type="cellIs" dxfId="153" priority="150" operator="greaterThan">
      <formula>10000</formula>
    </cfRule>
    <cfRule type="cellIs" dxfId="152" priority="151" operator="greaterThanOrEqual">
      <formula>1500</formula>
    </cfRule>
    <cfRule type="cellIs" dxfId="151" priority="152" operator="greaterThanOrEqual">
      <formula>1450</formula>
    </cfRule>
    <cfRule type="cellIs" dxfId="150" priority="153" operator="greaterThan">
      <formula>1400</formula>
    </cfRule>
  </conditionalFormatting>
  <conditionalFormatting sqref="M154">
    <cfRule type="cellIs" dxfId="149" priority="145" operator="greaterThan">
      <formula>10000</formula>
    </cfRule>
    <cfRule type="cellIs" dxfId="148" priority="146" operator="greaterThanOrEqual">
      <formula>1500</formula>
    </cfRule>
    <cfRule type="cellIs" dxfId="147" priority="147" operator="greaterThanOrEqual">
      <formula>1475</formula>
    </cfRule>
    <cfRule type="cellIs" dxfId="146" priority="148" operator="greaterThanOrEqual">
      <formula>1450</formula>
    </cfRule>
    <cfRule type="cellIs" dxfId="145" priority="149" operator="greaterThanOrEqual">
      <formula>1400</formula>
    </cfRule>
  </conditionalFormatting>
  <conditionalFormatting sqref="M154">
    <cfRule type="cellIs" dxfId="144" priority="141" operator="greaterThan">
      <formula>10000</formula>
    </cfRule>
    <cfRule type="cellIs" dxfId="143" priority="142" operator="greaterThanOrEqual">
      <formula>1500</formula>
    </cfRule>
    <cfRule type="cellIs" dxfId="142" priority="143" operator="greaterThanOrEqual">
      <formula>1450</formula>
    </cfRule>
    <cfRule type="cellIs" dxfId="141" priority="144" operator="greaterThan">
      <formula>1400</formula>
    </cfRule>
  </conditionalFormatting>
  <conditionalFormatting sqref="M154">
    <cfRule type="cellIs" dxfId="140" priority="136" operator="greaterThan">
      <formula>10000</formula>
    </cfRule>
    <cfRule type="cellIs" dxfId="139" priority="137" operator="greaterThanOrEqual">
      <formula>1500</formula>
    </cfRule>
    <cfRule type="cellIs" dxfId="138" priority="138" operator="greaterThanOrEqual">
      <formula>1475</formula>
    </cfRule>
    <cfRule type="cellIs" dxfId="137" priority="139" operator="greaterThanOrEqual">
      <formula>1450</formula>
    </cfRule>
    <cfRule type="cellIs" dxfId="136" priority="140" operator="greaterThanOrEqual">
      <formula>1400</formula>
    </cfRule>
  </conditionalFormatting>
  <conditionalFormatting sqref="J154">
    <cfRule type="cellIs" dxfId="135" priority="135" operator="greaterThan">
      <formula>10000</formula>
    </cfRule>
  </conditionalFormatting>
  <conditionalFormatting sqref="J154">
    <cfRule type="cellIs" dxfId="134" priority="130" operator="greaterThan">
      <formula>10000</formula>
    </cfRule>
    <cfRule type="cellIs" dxfId="133" priority="131" operator="greaterThanOrEqual">
      <formula>1550</formula>
    </cfRule>
    <cfRule type="cellIs" dxfId="132" priority="132" operator="greaterThanOrEqual">
      <formula>1525</formula>
    </cfRule>
    <cfRule type="cellIs" dxfId="131" priority="133" operator="greaterThanOrEqual">
      <formula>1475</formula>
    </cfRule>
    <cfRule type="cellIs" dxfId="130" priority="134" operator="greaterThanOrEqual">
      <formula>1400</formula>
    </cfRule>
  </conditionalFormatting>
  <conditionalFormatting sqref="K154">
    <cfRule type="cellIs" dxfId="129" priority="129" operator="greaterThan">
      <formula>10000</formula>
    </cfRule>
  </conditionalFormatting>
  <conditionalFormatting sqref="K154">
    <cfRule type="cellIs" dxfId="128" priority="124" operator="greaterThan">
      <formula>10000</formula>
    </cfRule>
    <cfRule type="cellIs" dxfId="127" priority="125" operator="greaterThanOrEqual">
      <formula>1550</formula>
    </cfRule>
    <cfRule type="cellIs" dxfId="126" priority="126" operator="greaterThanOrEqual">
      <formula>1525</formula>
    </cfRule>
    <cfRule type="cellIs" dxfId="125" priority="127" operator="greaterThanOrEqual">
      <formula>1475</formula>
    </cfRule>
    <cfRule type="cellIs" dxfId="124" priority="128" operator="greaterThanOrEqual">
      <formula>1400</formula>
    </cfRule>
  </conditionalFormatting>
  <conditionalFormatting sqref="L154">
    <cfRule type="cellIs" dxfId="123" priority="123" operator="greaterThan">
      <formula>10000</formula>
    </cfRule>
  </conditionalFormatting>
  <conditionalFormatting sqref="L154">
    <cfRule type="cellIs" dxfId="122" priority="118" operator="greaterThan">
      <formula>10000</formula>
    </cfRule>
    <cfRule type="cellIs" dxfId="121" priority="119" operator="greaterThanOrEqual">
      <formula>1550</formula>
    </cfRule>
    <cfRule type="cellIs" dxfId="120" priority="120" operator="greaterThanOrEqual">
      <formula>1525</formula>
    </cfRule>
    <cfRule type="cellIs" dxfId="119" priority="121" operator="greaterThanOrEqual">
      <formula>1475</formula>
    </cfRule>
    <cfRule type="cellIs" dxfId="118" priority="122" operator="greaterThanOrEqual">
      <formula>1400</formula>
    </cfRule>
  </conditionalFormatting>
  <conditionalFormatting sqref="M159">
    <cfRule type="cellIs" dxfId="117" priority="114" operator="greaterThan">
      <formula>10000</formula>
    </cfRule>
    <cfRule type="cellIs" dxfId="116" priority="115" operator="greaterThanOrEqual">
      <formula>1500</formula>
    </cfRule>
    <cfRule type="cellIs" dxfId="115" priority="116" operator="greaterThanOrEqual">
      <formula>1450</formula>
    </cfRule>
    <cfRule type="cellIs" dxfId="114" priority="117" operator="greaterThan">
      <formula>1400</formula>
    </cfRule>
  </conditionalFormatting>
  <conditionalFormatting sqref="M159">
    <cfRule type="cellIs" dxfId="113" priority="109" operator="greaterThan">
      <formula>10000</formula>
    </cfRule>
    <cfRule type="cellIs" dxfId="112" priority="110" operator="greaterThanOrEqual">
      <formula>1500</formula>
    </cfRule>
    <cfRule type="cellIs" dxfId="111" priority="111" operator="greaterThanOrEqual">
      <formula>1475</formula>
    </cfRule>
    <cfRule type="cellIs" dxfId="110" priority="112" operator="greaterThanOrEqual">
      <formula>1450</formula>
    </cfRule>
    <cfRule type="cellIs" dxfId="109" priority="113" operator="greaterThanOrEqual">
      <formula>1400</formula>
    </cfRule>
  </conditionalFormatting>
  <conditionalFormatting sqref="M159">
    <cfRule type="cellIs" dxfId="108" priority="105" operator="greaterThan">
      <formula>10000</formula>
    </cfRule>
    <cfRule type="cellIs" dxfId="107" priority="106" operator="greaterThanOrEqual">
      <formula>1500</formula>
    </cfRule>
    <cfRule type="cellIs" dxfId="106" priority="107" operator="greaterThanOrEqual">
      <formula>1450</formula>
    </cfRule>
    <cfRule type="cellIs" dxfId="105" priority="108" operator="greaterThan">
      <formula>1400</formula>
    </cfRule>
  </conditionalFormatting>
  <conditionalFormatting sqref="M159">
    <cfRule type="cellIs" dxfId="104" priority="100" operator="greaterThan">
      <formula>10000</formula>
    </cfRule>
    <cfRule type="cellIs" dxfId="103" priority="101" operator="greaterThanOrEqual">
      <formula>1500</formula>
    </cfRule>
    <cfRule type="cellIs" dxfId="102" priority="102" operator="greaterThanOrEqual">
      <formula>1475</formula>
    </cfRule>
    <cfRule type="cellIs" dxfId="101" priority="103" operator="greaterThanOrEqual">
      <formula>1450</formula>
    </cfRule>
    <cfRule type="cellIs" dxfId="100" priority="104" operator="greaterThanOrEqual">
      <formula>1400</formula>
    </cfRule>
  </conditionalFormatting>
  <conditionalFormatting sqref="M159">
    <cfRule type="cellIs" dxfId="99" priority="96" operator="greaterThan">
      <formula>10000</formula>
    </cfRule>
    <cfRule type="cellIs" dxfId="98" priority="97" operator="greaterThanOrEqual">
      <formula>1500</formula>
    </cfRule>
    <cfRule type="cellIs" dxfId="97" priority="98" operator="greaterThanOrEqual">
      <formula>1450</formula>
    </cfRule>
    <cfRule type="cellIs" dxfId="96" priority="99" operator="greaterThan">
      <formula>1400</formula>
    </cfRule>
  </conditionalFormatting>
  <conditionalFormatting sqref="M159">
    <cfRule type="cellIs" dxfId="95" priority="91" operator="greaterThan">
      <formula>10000</formula>
    </cfRule>
    <cfRule type="cellIs" dxfId="94" priority="92" operator="greaterThanOrEqual">
      <formula>1500</formula>
    </cfRule>
    <cfRule type="cellIs" dxfId="93" priority="93" operator="greaterThanOrEqual">
      <formula>1475</formula>
    </cfRule>
    <cfRule type="cellIs" dxfId="92" priority="94" operator="greaterThanOrEqual">
      <formula>1450</formula>
    </cfRule>
    <cfRule type="cellIs" dxfId="91" priority="95" operator="greaterThanOrEqual">
      <formula>1400</formula>
    </cfRule>
  </conditionalFormatting>
  <conditionalFormatting sqref="J159">
    <cfRule type="cellIs" dxfId="90" priority="90" operator="greaterThan">
      <formula>10000</formula>
    </cfRule>
  </conditionalFormatting>
  <conditionalFormatting sqref="J159">
    <cfRule type="cellIs" dxfId="89" priority="85" operator="greaterThan">
      <formula>10000</formula>
    </cfRule>
    <cfRule type="cellIs" dxfId="88" priority="86" operator="greaterThanOrEqual">
      <formula>1550</formula>
    </cfRule>
    <cfRule type="cellIs" dxfId="87" priority="87" operator="greaterThanOrEqual">
      <formula>1525</formula>
    </cfRule>
    <cfRule type="cellIs" dxfId="86" priority="88" operator="greaterThanOrEqual">
      <formula>1475</formula>
    </cfRule>
    <cfRule type="cellIs" dxfId="85" priority="89" operator="greaterThanOrEqual">
      <formula>1400</formula>
    </cfRule>
  </conditionalFormatting>
  <conditionalFormatting sqref="K159">
    <cfRule type="cellIs" dxfId="84" priority="84" operator="greaterThan">
      <formula>10000</formula>
    </cfRule>
  </conditionalFormatting>
  <conditionalFormatting sqref="K159">
    <cfRule type="cellIs" dxfId="83" priority="79" operator="greaterThan">
      <formula>10000</formula>
    </cfRule>
    <cfRule type="cellIs" dxfId="82" priority="80" operator="greaterThanOrEqual">
      <formula>1550</formula>
    </cfRule>
    <cfRule type="cellIs" dxfId="81" priority="81" operator="greaterThanOrEqual">
      <formula>1525</formula>
    </cfRule>
    <cfRule type="cellIs" dxfId="80" priority="82" operator="greaterThanOrEqual">
      <formula>1475</formula>
    </cfRule>
    <cfRule type="cellIs" dxfId="79" priority="83" operator="greaterThanOrEqual">
      <formula>1400</formula>
    </cfRule>
  </conditionalFormatting>
  <conditionalFormatting sqref="L159">
    <cfRule type="cellIs" dxfId="78" priority="78" operator="greaterThan">
      <formula>10000</formula>
    </cfRule>
  </conditionalFormatting>
  <conditionalFormatting sqref="L159">
    <cfRule type="cellIs" dxfId="77" priority="73" operator="greaterThan">
      <formula>10000</formula>
    </cfRule>
    <cfRule type="cellIs" dxfId="76" priority="74" operator="greaterThanOrEqual">
      <formula>1550</formula>
    </cfRule>
    <cfRule type="cellIs" dxfId="75" priority="75" operator="greaterThanOrEqual">
      <formula>1525</formula>
    </cfRule>
    <cfRule type="cellIs" dxfId="74" priority="76" operator="greaterThanOrEqual">
      <formula>1475</formula>
    </cfRule>
    <cfRule type="cellIs" dxfId="73" priority="77" operator="greaterThanOrEqual">
      <formula>1400</formula>
    </cfRule>
  </conditionalFormatting>
  <conditionalFormatting sqref="M160">
    <cfRule type="cellIs" dxfId="72" priority="69" operator="greaterThan">
      <formula>10000</formula>
    </cfRule>
    <cfRule type="cellIs" dxfId="71" priority="70" operator="greaterThanOrEqual">
      <formula>1500</formula>
    </cfRule>
    <cfRule type="cellIs" dxfId="70" priority="71" operator="greaterThanOrEqual">
      <formula>1450</formula>
    </cfRule>
    <cfRule type="cellIs" dxfId="69" priority="72" operator="greaterThan">
      <formula>1400</formula>
    </cfRule>
  </conditionalFormatting>
  <conditionalFormatting sqref="M160">
    <cfRule type="cellIs" dxfId="68" priority="64" operator="greaterThan">
      <formula>10000</formula>
    </cfRule>
    <cfRule type="cellIs" dxfId="67" priority="65" operator="greaterThanOrEqual">
      <formula>1500</formula>
    </cfRule>
    <cfRule type="cellIs" dxfId="66" priority="66" operator="greaterThanOrEqual">
      <formula>1475</formula>
    </cfRule>
    <cfRule type="cellIs" dxfId="65" priority="67" operator="greaterThanOrEqual">
      <formula>1450</formula>
    </cfRule>
    <cfRule type="cellIs" dxfId="64" priority="68" operator="greaterThanOrEqual">
      <formula>1400</formula>
    </cfRule>
  </conditionalFormatting>
  <conditionalFormatting sqref="M160">
    <cfRule type="cellIs" dxfId="63" priority="60" operator="greaterThan">
      <formula>10000</formula>
    </cfRule>
    <cfRule type="cellIs" dxfId="62" priority="61" operator="greaterThanOrEqual">
      <formula>1500</formula>
    </cfRule>
    <cfRule type="cellIs" dxfId="61" priority="62" operator="greaterThanOrEqual">
      <formula>1450</formula>
    </cfRule>
    <cfRule type="cellIs" dxfId="60" priority="63" operator="greaterThan">
      <formula>1400</formula>
    </cfRule>
  </conditionalFormatting>
  <conditionalFormatting sqref="M160">
    <cfRule type="cellIs" dxfId="59" priority="55" operator="greaterThan">
      <formula>10000</formula>
    </cfRule>
    <cfRule type="cellIs" dxfId="58" priority="56" operator="greaterThanOrEqual">
      <formula>1500</formula>
    </cfRule>
    <cfRule type="cellIs" dxfId="57" priority="57" operator="greaterThanOrEqual">
      <formula>1475</formula>
    </cfRule>
    <cfRule type="cellIs" dxfId="56" priority="58" operator="greaterThanOrEqual">
      <formula>1450</formula>
    </cfRule>
    <cfRule type="cellIs" dxfId="55" priority="59" operator="greaterThanOrEqual">
      <formula>1400</formula>
    </cfRule>
  </conditionalFormatting>
  <conditionalFormatting sqref="M160">
    <cfRule type="cellIs" dxfId="54" priority="51" operator="greaterThan">
      <formula>10000</formula>
    </cfRule>
    <cfRule type="cellIs" dxfId="53" priority="52" operator="greaterThanOrEqual">
      <formula>1500</formula>
    </cfRule>
    <cfRule type="cellIs" dxfId="52" priority="53" operator="greaterThanOrEqual">
      <formula>1450</formula>
    </cfRule>
    <cfRule type="cellIs" dxfId="51" priority="54" operator="greaterThan">
      <formula>1400</formula>
    </cfRule>
  </conditionalFormatting>
  <conditionalFormatting sqref="M160">
    <cfRule type="cellIs" dxfId="50" priority="46" operator="greaterThan">
      <formula>10000</formula>
    </cfRule>
    <cfRule type="cellIs" dxfId="49" priority="47" operator="greaterThanOrEqual">
      <formula>1500</formula>
    </cfRule>
    <cfRule type="cellIs" dxfId="48" priority="48" operator="greaterThanOrEqual">
      <formula>1475</formula>
    </cfRule>
    <cfRule type="cellIs" dxfId="47" priority="49" operator="greaterThanOrEqual">
      <formula>1450</formula>
    </cfRule>
    <cfRule type="cellIs" dxfId="46" priority="50" operator="greaterThanOrEqual">
      <formula>1400</formula>
    </cfRule>
  </conditionalFormatting>
  <conditionalFormatting sqref="J160">
    <cfRule type="cellIs" dxfId="45" priority="45" operator="greaterThan">
      <formula>10000</formula>
    </cfRule>
  </conditionalFormatting>
  <conditionalFormatting sqref="J160">
    <cfRule type="cellIs" dxfId="44" priority="40" operator="greaterThan">
      <formula>10000</formula>
    </cfRule>
    <cfRule type="cellIs" dxfId="43" priority="41" operator="greaterThanOrEqual">
      <formula>1550</formula>
    </cfRule>
    <cfRule type="cellIs" dxfId="42" priority="42" operator="greaterThanOrEqual">
      <formula>1525</formula>
    </cfRule>
    <cfRule type="cellIs" dxfId="41" priority="43" operator="greaterThanOrEqual">
      <formula>1475</formula>
    </cfRule>
    <cfRule type="cellIs" dxfId="40" priority="44" operator="greaterThanOrEqual">
      <formula>1400</formula>
    </cfRule>
  </conditionalFormatting>
  <conditionalFormatting sqref="K160">
    <cfRule type="cellIs" dxfId="39" priority="39" operator="greaterThan">
      <formula>10000</formula>
    </cfRule>
  </conditionalFormatting>
  <conditionalFormatting sqref="K160">
    <cfRule type="cellIs" dxfId="38" priority="34" operator="greaterThan">
      <formula>10000</formula>
    </cfRule>
    <cfRule type="cellIs" dxfId="37" priority="35" operator="greaterThanOrEqual">
      <formula>1550</formula>
    </cfRule>
    <cfRule type="cellIs" dxfId="36" priority="36" operator="greaterThanOrEqual">
      <formula>1525</formula>
    </cfRule>
    <cfRule type="cellIs" dxfId="35" priority="37" operator="greaterThanOrEqual">
      <formula>1475</formula>
    </cfRule>
    <cfRule type="cellIs" dxfId="34" priority="38" operator="greaterThanOrEqual">
      <formula>1400</formula>
    </cfRule>
  </conditionalFormatting>
  <conditionalFormatting sqref="L160">
    <cfRule type="cellIs" dxfId="33" priority="33" operator="greaterThan">
      <formula>10000</formula>
    </cfRule>
  </conditionalFormatting>
  <conditionalFormatting sqref="L160">
    <cfRule type="cellIs" dxfId="32" priority="28" operator="greaterThan">
      <formula>10000</formula>
    </cfRule>
    <cfRule type="cellIs" dxfId="31" priority="29" operator="greaterThanOrEqual">
      <formula>1550</formula>
    </cfRule>
    <cfRule type="cellIs" dxfId="30" priority="30" operator="greaterThanOrEqual">
      <formula>1525</formula>
    </cfRule>
    <cfRule type="cellIs" dxfId="29" priority="31" operator="greaterThanOrEqual">
      <formula>1475</formula>
    </cfRule>
    <cfRule type="cellIs" dxfId="28" priority="32" operator="greaterThanOrEqual">
      <formula>1400</formula>
    </cfRule>
  </conditionalFormatting>
  <conditionalFormatting sqref="M151">
    <cfRule type="cellIs" dxfId="27" priority="24" operator="greaterThan">
      <formula>10000</formula>
    </cfRule>
    <cfRule type="cellIs" dxfId="26" priority="25" operator="greaterThanOrEqual">
      <formula>1500</formula>
    </cfRule>
    <cfRule type="cellIs" dxfId="25" priority="26" operator="greaterThanOrEqual">
      <formula>1450</formula>
    </cfRule>
    <cfRule type="cellIs" dxfId="24" priority="27" operator="greaterThan">
      <formula>1400</formula>
    </cfRule>
  </conditionalFormatting>
  <conditionalFormatting sqref="M151">
    <cfRule type="cellIs" dxfId="23" priority="19" operator="greaterThan">
      <formula>10000</formula>
    </cfRule>
    <cfRule type="cellIs" dxfId="22" priority="20" operator="greaterThanOrEqual">
      <formula>1500</formula>
    </cfRule>
    <cfRule type="cellIs" dxfId="21" priority="21" operator="greaterThanOrEqual">
      <formula>1475</formula>
    </cfRule>
    <cfRule type="cellIs" dxfId="20" priority="22" operator="greaterThanOrEqual">
      <formula>1450</formula>
    </cfRule>
    <cfRule type="cellIs" dxfId="19" priority="23" operator="greaterThanOrEqual">
      <formula>1400</formula>
    </cfRule>
  </conditionalFormatting>
  <conditionalFormatting sqref="J151">
    <cfRule type="cellIs" dxfId="18" priority="18" operator="greaterThan">
      <formula>10000</formula>
    </cfRule>
  </conditionalFormatting>
  <conditionalFormatting sqref="J151">
    <cfRule type="cellIs" dxfId="17" priority="13" operator="greaterThan">
      <formula>10000</formula>
    </cfRule>
    <cfRule type="cellIs" dxfId="16" priority="14" operator="greaterThanOrEqual">
      <formula>1550</formula>
    </cfRule>
    <cfRule type="cellIs" dxfId="15" priority="15" operator="greaterThanOrEqual">
      <formula>1525</formula>
    </cfRule>
    <cfRule type="cellIs" dxfId="14" priority="16" operator="greaterThanOrEqual">
      <formula>1475</formula>
    </cfRule>
    <cfRule type="cellIs" dxfId="13" priority="17" operator="greaterThanOrEqual">
      <formula>1400</formula>
    </cfRule>
  </conditionalFormatting>
  <conditionalFormatting sqref="K151">
    <cfRule type="cellIs" dxfId="12" priority="12" operator="greaterThan">
      <formula>10000</formula>
    </cfRule>
  </conditionalFormatting>
  <conditionalFormatting sqref="K151">
    <cfRule type="cellIs" dxfId="11" priority="7" operator="greaterThan">
      <formula>10000</formula>
    </cfRule>
    <cfRule type="cellIs" dxfId="10" priority="8" operator="greaterThanOrEqual">
      <formula>1550</formula>
    </cfRule>
    <cfRule type="cellIs" dxfId="9" priority="9" operator="greaterThanOrEqual">
      <formula>1525</formula>
    </cfRule>
    <cfRule type="cellIs" dxfId="8" priority="10" operator="greaterThanOrEqual">
      <formula>1475</formula>
    </cfRule>
    <cfRule type="cellIs" dxfId="7" priority="11" operator="greaterThanOrEqual">
      <formula>1400</formula>
    </cfRule>
  </conditionalFormatting>
  <conditionalFormatting sqref="L151">
    <cfRule type="cellIs" dxfId="6" priority="6" operator="greaterThan">
      <formula>10000</formula>
    </cfRule>
  </conditionalFormatting>
  <conditionalFormatting sqref="L151">
    <cfRule type="cellIs" dxfId="5" priority="1" operator="greaterThan">
      <formula>10000</formula>
    </cfRule>
    <cfRule type="cellIs" dxfId="4" priority="2" operator="greaterThanOrEqual">
      <formula>1550</formula>
    </cfRule>
    <cfRule type="cellIs" dxfId="3" priority="3" operator="greaterThanOrEqual">
      <formula>1525</formula>
    </cfRule>
    <cfRule type="cellIs" dxfId="2" priority="4" operator="greaterThanOrEqual">
      <formula>1475</formula>
    </cfRule>
    <cfRule type="cellIs" dxfId="1" priority="5" operator="greaterThanOrEqual">
      <formula>1400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a">
          <controlPr defaultSize="0" autoLine="0" r:id="rId5">
            <anchor moveWithCells="1">
              <from>
                <xdr:col>15</xdr:col>
                <xdr:colOff>30480</xdr:colOff>
                <xdr:row>166</xdr:row>
                <xdr:rowOff>7620</xdr:rowOff>
              </from>
              <to>
                <xdr:col>16</xdr:col>
                <xdr:colOff>335280</xdr:colOff>
                <xdr:row>167</xdr:row>
                <xdr:rowOff>129540</xdr:rowOff>
              </to>
            </anchor>
          </controlPr>
        </control>
      </mc:Choice>
      <mc:Fallback>
        <control shapeId="1026" r:id="rId4" name="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E0327-29BA-4FC0-9F83-AAD3379CE9B9}">
  <sheetPr codeName="Sheet4"/>
  <dimension ref="A1:F95"/>
  <sheetViews>
    <sheetView workbookViewId="0">
      <selection sqref="A1:A1048576"/>
    </sheetView>
  </sheetViews>
  <sheetFormatPr defaultRowHeight="14.4" x14ac:dyDescent="0.3"/>
  <cols>
    <col min="1" max="1" width="16.44140625" customWidth="1"/>
    <col min="2" max="2" width="20" customWidth="1"/>
    <col min="5" max="5" width="17.21875" style="6" customWidth="1"/>
  </cols>
  <sheetData>
    <row r="1" spans="1:6" x14ac:dyDescent="0.3">
      <c r="A1" t="s">
        <v>51</v>
      </c>
      <c r="B1" t="s">
        <v>52</v>
      </c>
      <c r="C1" t="s">
        <v>53</v>
      </c>
      <c r="D1" t="s">
        <v>54</v>
      </c>
      <c r="E1" s="6" t="s">
        <v>55</v>
      </c>
      <c r="F1" t="s">
        <v>56</v>
      </c>
    </row>
    <row r="2" spans="1:6" x14ac:dyDescent="0.3">
      <c r="A2" t="s">
        <v>148</v>
      </c>
      <c r="B2" s="5">
        <v>44509.909201388888</v>
      </c>
      <c r="C2" t="s">
        <v>57</v>
      </c>
      <c r="D2" t="s">
        <v>58</v>
      </c>
      <c r="E2" s="2">
        <v>1429.5</v>
      </c>
      <c r="F2" t="s">
        <v>57</v>
      </c>
    </row>
    <row r="3" spans="1:6" x14ac:dyDescent="0.3">
      <c r="A3" t="s">
        <v>147</v>
      </c>
      <c r="B3" s="5">
        <v>44509.906388888892</v>
      </c>
      <c r="C3" t="s">
        <v>57</v>
      </c>
      <c r="D3" t="s">
        <v>58</v>
      </c>
      <c r="E3">
        <v>1464</v>
      </c>
      <c r="F3" t="s">
        <v>57</v>
      </c>
    </row>
    <row r="4" spans="1:6" x14ac:dyDescent="0.3">
      <c r="A4" t="s">
        <v>120</v>
      </c>
      <c r="B4" s="5">
        <v>44509.899236111109</v>
      </c>
      <c r="C4" t="s">
        <v>57</v>
      </c>
      <c r="D4" t="s">
        <v>58</v>
      </c>
      <c r="E4" s="2">
        <v>1469.9</v>
      </c>
      <c r="F4" t="s">
        <v>57</v>
      </c>
    </row>
    <row r="5" spans="1:6" x14ac:dyDescent="0.3">
      <c r="A5" t="s">
        <v>144</v>
      </c>
      <c r="B5" s="5">
        <v>44509.848993055559</v>
      </c>
      <c r="C5" t="s">
        <v>57</v>
      </c>
      <c r="D5" t="s">
        <v>58</v>
      </c>
      <c r="E5">
        <v>1471.5</v>
      </c>
      <c r="F5" t="s">
        <v>57</v>
      </c>
    </row>
    <row r="6" spans="1:6" x14ac:dyDescent="0.3">
      <c r="A6" t="s">
        <v>144</v>
      </c>
      <c r="B6" s="5">
        <v>44509.735208333332</v>
      </c>
      <c r="C6" t="s">
        <v>57</v>
      </c>
      <c r="D6" t="s">
        <v>58</v>
      </c>
      <c r="E6">
        <v>1497.9</v>
      </c>
      <c r="F6" t="s">
        <v>57</v>
      </c>
    </row>
    <row r="7" spans="1:6" x14ac:dyDescent="0.3">
      <c r="A7" t="s">
        <v>116</v>
      </c>
      <c r="B7" s="5">
        <v>44508.924976851849</v>
      </c>
      <c r="C7" t="s">
        <v>57</v>
      </c>
      <c r="D7" t="s">
        <v>58</v>
      </c>
      <c r="E7" s="2">
        <v>1465.3</v>
      </c>
      <c r="F7" t="s">
        <v>57</v>
      </c>
    </row>
    <row r="8" spans="1:6" x14ac:dyDescent="0.3">
      <c r="A8" t="s">
        <v>142</v>
      </c>
      <c r="B8" s="5">
        <v>44508.924155092594</v>
      </c>
      <c r="C8" t="s">
        <v>57</v>
      </c>
      <c r="D8" t="s">
        <v>58</v>
      </c>
      <c r="E8">
        <v>1447.9</v>
      </c>
      <c r="F8" t="s">
        <v>57</v>
      </c>
    </row>
    <row r="9" spans="1:6" x14ac:dyDescent="0.3">
      <c r="A9" t="s">
        <v>143</v>
      </c>
      <c r="B9" s="5">
        <v>44508.921134259261</v>
      </c>
      <c r="C9" t="s">
        <v>57</v>
      </c>
      <c r="D9" t="s">
        <v>58</v>
      </c>
      <c r="E9" s="2">
        <v>1453.7</v>
      </c>
      <c r="F9" t="s">
        <v>57</v>
      </c>
    </row>
    <row r="10" spans="1:6" x14ac:dyDescent="0.3">
      <c r="A10" t="s">
        <v>111</v>
      </c>
      <c r="B10" s="5">
        <v>44508.807199074072</v>
      </c>
      <c r="C10" t="s">
        <v>57</v>
      </c>
      <c r="D10" t="s">
        <v>58</v>
      </c>
      <c r="E10" s="6">
        <v>1478.3</v>
      </c>
      <c r="F10" t="s">
        <v>57</v>
      </c>
    </row>
    <row r="11" spans="1:6" x14ac:dyDescent="0.3">
      <c r="A11" t="s">
        <v>101</v>
      </c>
      <c r="B11" s="5">
        <v>44508.806504629632</v>
      </c>
      <c r="C11" t="s">
        <v>57</v>
      </c>
      <c r="D11" t="s">
        <v>58</v>
      </c>
      <c r="E11">
        <v>1519.2</v>
      </c>
      <c r="F11" t="s">
        <v>57</v>
      </c>
    </row>
    <row r="12" spans="1:6" x14ac:dyDescent="0.3">
      <c r="A12" t="s">
        <v>138</v>
      </c>
      <c r="B12" s="5">
        <v>44507.863287037035</v>
      </c>
      <c r="C12" t="s">
        <v>57</v>
      </c>
      <c r="D12" t="s">
        <v>58</v>
      </c>
      <c r="E12">
        <v>1494.4</v>
      </c>
      <c r="F12" t="s">
        <v>57</v>
      </c>
    </row>
    <row r="13" spans="1:6" x14ac:dyDescent="0.3">
      <c r="A13" t="s">
        <v>133</v>
      </c>
      <c r="B13" s="5">
        <v>44507.775173611109</v>
      </c>
      <c r="C13" t="s">
        <v>57</v>
      </c>
      <c r="D13" t="s">
        <v>58</v>
      </c>
      <c r="E13">
        <v>1510.9</v>
      </c>
      <c r="F13" t="s">
        <v>57</v>
      </c>
    </row>
    <row r="14" spans="1:6" x14ac:dyDescent="0.3">
      <c r="A14" t="s">
        <v>134</v>
      </c>
      <c r="B14" s="5">
        <v>44507.771018518521</v>
      </c>
      <c r="C14" t="s">
        <v>57</v>
      </c>
      <c r="D14" t="s">
        <v>58</v>
      </c>
      <c r="E14">
        <v>1455.7</v>
      </c>
      <c r="F14" t="s">
        <v>57</v>
      </c>
    </row>
    <row r="15" spans="1:6" x14ac:dyDescent="0.3">
      <c r="A15" t="s">
        <v>124</v>
      </c>
      <c r="B15" s="5">
        <v>44507.652974537035</v>
      </c>
      <c r="C15" t="s">
        <v>132</v>
      </c>
      <c r="D15" t="s">
        <v>58</v>
      </c>
      <c r="E15">
        <v>1503.4</v>
      </c>
      <c r="F15" t="s">
        <v>57</v>
      </c>
    </row>
    <row r="16" spans="1:6" x14ac:dyDescent="0.3">
      <c r="E16"/>
    </row>
    <row r="17" spans="1:6" x14ac:dyDescent="0.3">
      <c r="A17" t="s">
        <v>123</v>
      </c>
      <c r="B17" s="5">
        <v>44506.937581018516</v>
      </c>
      <c r="C17" t="s">
        <v>57</v>
      </c>
      <c r="D17" t="s">
        <v>58</v>
      </c>
      <c r="E17">
        <v>1499.2</v>
      </c>
      <c r="F17" t="s">
        <v>57</v>
      </c>
    </row>
    <row r="18" spans="1:6" x14ac:dyDescent="0.3">
      <c r="A18" t="s">
        <v>123</v>
      </c>
      <c r="B18" s="5">
        <v>44506.929629629631</v>
      </c>
      <c r="C18" t="s">
        <v>57</v>
      </c>
      <c r="D18" t="s">
        <v>58</v>
      </c>
      <c r="E18">
        <v>1520.4</v>
      </c>
      <c r="F18" t="s">
        <v>57</v>
      </c>
    </row>
    <row r="19" spans="1:6" x14ac:dyDescent="0.3">
      <c r="A19" t="s">
        <v>123</v>
      </c>
      <c r="B19" s="5">
        <v>44506.916875000003</v>
      </c>
      <c r="C19" t="s">
        <v>57</v>
      </c>
      <c r="D19" t="s">
        <v>58</v>
      </c>
      <c r="E19" s="2">
        <v>1465.9</v>
      </c>
      <c r="F19" t="s">
        <v>57</v>
      </c>
    </row>
    <row r="20" spans="1:6" x14ac:dyDescent="0.3">
      <c r="A20" t="s">
        <v>123</v>
      </c>
      <c r="B20" s="5">
        <v>44506.904988425929</v>
      </c>
      <c r="C20" t="s">
        <v>57</v>
      </c>
      <c r="D20" t="s">
        <v>58</v>
      </c>
      <c r="E20" s="6">
        <v>1534.5</v>
      </c>
      <c r="F20" t="s">
        <v>57</v>
      </c>
    </row>
    <row r="21" spans="1:6" x14ac:dyDescent="0.3">
      <c r="A21" t="s">
        <v>123</v>
      </c>
      <c r="B21" s="5">
        <v>44506.803449074076</v>
      </c>
      <c r="C21" t="s">
        <v>57</v>
      </c>
      <c r="D21" t="s">
        <v>58</v>
      </c>
      <c r="E21" s="2">
        <v>1505.3</v>
      </c>
      <c r="F21" t="s">
        <v>57</v>
      </c>
    </row>
    <row r="22" spans="1:6" x14ac:dyDescent="0.3">
      <c r="A22" t="s">
        <v>122</v>
      </c>
      <c r="B22" s="5">
        <v>44503.895995370367</v>
      </c>
      <c r="C22" t="s">
        <v>57</v>
      </c>
      <c r="D22" t="s">
        <v>58</v>
      </c>
      <c r="E22" s="2">
        <v>1504</v>
      </c>
      <c r="F22" t="s">
        <v>57</v>
      </c>
    </row>
    <row r="23" spans="1:6" x14ac:dyDescent="0.3">
      <c r="A23" t="s">
        <v>116</v>
      </c>
      <c r="B23" s="5">
        <v>44503.893784722219</v>
      </c>
      <c r="C23" t="s">
        <v>57</v>
      </c>
      <c r="D23" t="s">
        <v>58</v>
      </c>
      <c r="E23">
        <v>1511.1</v>
      </c>
      <c r="F23" t="s">
        <v>57</v>
      </c>
    </row>
    <row r="24" spans="1:6" x14ac:dyDescent="0.3">
      <c r="A24" t="s">
        <v>112</v>
      </c>
      <c r="B24" s="5">
        <v>44503.891388888886</v>
      </c>
      <c r="C24" t="s">
        <v>57</v>
      </c>
      <c r="D24" t="s">
        <v>58</v>
      </c>
      <c r="E24">
        <v>1501.9</v>
      </c>
      <c r="F24" t="s">
        <v>57</v>
      </c>
    </row>
    <row r="25" spans="1:6" x14ac:dyDescent="0.3">
      <c r="A25" t="s">
        <v>111</v>
      </c>
      <c r="B25" s="5">
        <v>44503.888749999998</v>
      </c>
      <c r="C25" t="s">
        <v>57</v>
      </c>
      <c r="D25" t="s">
        <v>58</v>
      </c>
      <c r="E25">
        <v>1541.5</v>
      </c>
      <c r="F25" t="s">
        <v>57</v>
      </c>
    </row>
    <row r="26" spans="1:6" x14ac:dyDescent="0.3">
      <c r="A26" t="s">
        <v>117</v>
      </c>
      <c r="B26" s="5">
        <v>44503.88553240741</v>
      </c>
      <c r="C26" t="s">
        <v>57</v>
      </c>
      <c r="D26" t="s">
        <v>58</v>
      </c>
      <c r="E26" s="2">
        <v>1506.3</v>
      </c>
      <c r="F26" t="s">
        <v>57</v>
      </c>
    </row>
    <row r="27" spans="1:6" x14ac:dyDescent="0.3">
      <c r="A27" t="s">
        <v>122</v>
      </c>
      <c r="B27" s="5">
        <v>44502.654537037037</v>
      </c>
      <c r="C27" t="s">
        <v>57</v>
      </c>
      <c r="D27" t="s">
        <v>58</v>
      </c>
      <c r="E27">
        <v>1537</v>
      </c>
      <c r="F27" t="s">
        <v>57</v>
      </c>
    </row>
    <row r="28" spans="1:6" x14ac:dyDescent="0.3">
      <c r="A28" t="s">
        <v>120</v>
      </c>
      <c r="B28" s="5">
        <v>44501.911516203705</v>
      </c>
      <c r="C28" t="s">
        <v>57</v>
      </c>
      <c r="D28" t="s">
        <v>58</v>
      </c>
      <c r="E28">
        <v>1533.9</v>
      </c>
      <c r="F28" t="s">
        <v>57</v>
      </c>
    </row>
    <row r="29" spans="1:6" x14ac:dyDescent="0.3">
      <c r="A29" t="s">
        <v>119</v>
      </c>
      <c r="B29" s="5">
        <v>44501.905775462961</v>
      </c>
      <c r="C29" t="s">
        <v>57</v>
      </c>
      <c r="D29" t="s">
        <v>58</v>
      </c>
      <c r="E29">
        <v>1492.7</v>
      </c>
      <c r="F29" t="s">
        <v>57</v>
      </c>
    </row>
    <row r="30" spans="1:6" x14ac:dyDescent="0.3">
      <c r="A30" t="s">
        <v>116</v>
      </c>
      <c r="B30" s="5">
        <v>44501.870879629627</v>
      </c>
      <c r="C30" t="s">
        <v>57</v>
      </c>
      <c r="D30" t="s">
        <v>58</v>
      </c>
      <c r="E30">
        <v>1524.6</v>
      </c>
      <c r="F30" t="s">
        <v>57</v>
      </c>
    </row>
    <row r="31" spans="1:6" x14ac:dyDescent="0.3">
      <c r="A31" t="s">
        <v>117</v>
      </c>
      <c r="B31" s="5">
        <v>44501.850497685184</v>
      </c>
      <c r="C31" t="s">
        <v>57</v>
      </c>
      <c r="D31" t="s">
        <v>58</v>
      </c>
      <c r="E31">
        <v>1534.5</v>
      </c>
      <c r="F31" t="s">
        <v>57</v>
      </c>
    </row>
    <row r="32" spans="1:6" x14ac:dyDescent="0.3">
      <c r="A32" t="s">
        <v>112</v>
      </c>
      <c r="B32" s="5">
        <v>44501.282349537039</v>
      </c>
      <c r="C32" t="s">
        <v>57</v>
      </c>
      <c r="D32" t="s">
        <v>58</v>
      </c>
      <c r="E32">
        <v>1517.9</v>
      </c>
      <c r="F32" t="s">
        <v>57</v>
      </c>
    </row>
    <row r="33" spans="1:6" x14ac:dyDescent="0.3">
      <c r="A33" t="s">
        <v>113</v>
      </c>
      <c r="B33" s="5">
        <v>44500.901273148149</v>
      </c>
      <c r="C33" t="s">
        <v>57</v>
      </c>
      <c r="D33" t="s">
        <v>58</v>
      </c>
      <c r="E33">
        <v>1462.6</v>
      </c>
      <c r="F33" t="s">
        <v>57</v>
      </c>
    </row>
    <row r="34" spans="1:6" x14ac:dyDescent="0.3">
      <c r="A34" t="s">
        <v>111</v>
      </c>
      <c r="B34" s="5">
        <v>44500.827696759261</v>
      </c>
      <c r="C34" t="s">
        <v>57</v>
      </c>
      <c r="D34" t="s">
        <v>58</v>
      </c>
      <c r="E34">
        <v>1557.8</v>
      </c>
      <c r="F34" t="s">
        <v>57</v>
      </c>
    </row>
    <row r="35" spans="1:6" x14ac:dyDescent="0.3">
      <c r="A35" t="s">
        <v>109</v>
      </c>
      <c r="B35" s="5">
        <v>44500.624722222223</v>
      </c>
      <c r="C35" t="s">
        <v>57</v>
      </c>
      <c r="D35" t="s">
        <v>58</v>
      </c>
      <c r="E35">
        <v>1510.8</v>
      </c>
      <c r="F35" t="s">
        <v>57</v>
      </c>
    </row>
    <row r="36" spans="1:6" x14ac:dyDescent="0.3">
      <c r="A36" t="s">
        <v>107</v>
      </c>
      <c r="B36" s="5">
        <v>44500.567442129628</v>
      </c>
      <c r="C36" t="s">
        <v>57</v>
      </c>
      <c r="D36" t="s">
        <v>58</v>
      </c>
      <c r="E36">
        <v>1475.3</v>
      </c>
      <c r="F36" t="s">
        <v>57</v>
      </c>
    </row>
    <row r="37" spans="1:6" x14ac:dyDescent="0.3">
      <c r="A37" t="s">
        <v>106</v>
      </c>
      <c r="B37" s="5">
        <v>44500.470682870371</v>
      </c>
      <c r="C37" t="s">
        <v>57</v>
      </c>
      <c r="D37" t="s">
        <v>58</v>
      </c>
      <c r="E37">
        <v>1502.2</v>
      </c>
      <c r="F37" t="s">
        <v>57</v>
      </c>
    </row>
    <row r="38" spans="1:6" x14ac:dyDescent="0.3">
      <c r="A38" t="s">
        <v>101</v>
      </c>
      <c r="B38" s="5">
        <v>44499.97320601852</v>
      </c>
      <c r="C38" t="s">
        <v>57</v>
      </c>
      <c r="D38" t="s">
        <v>58</v>
      </c>
      <c r="E38">
        <v>1537.4</v>
      </c>
      <c r="F38" t="s">
        <v>57</v>
      </c>
    </row>
    <row r="39" spans="1:6" x14ac:dyDescent="0.3">
      <c r="A39" t="s">
        <v>102</v>
      </c>
      <c r="B39" s="5">
        <v>44499.970196759263</v>
      </c>
      <c r="C39" t="s">
        <v>57</v>
      </c>
      <c r="D39" t="s">
        <v>58</v>
      </c>
      <c r="E39">
        <v>1500.2</v>
      </c>
      <c r="F39" t="s">
        <v>57</v>
      </c>
    </row>
    <row r="40" spans="1:6" x14ac:dyDescent="0.3">
      <c r="A40" t="s">
        <v>103</v>
      </c>
      <c r="B40" s="5">
        <v>44499.967905092592</v>
      </c>
      <c r="C40" t="s">
        <v>57</v>
      </c>
      <c r="D40" t="s">
        <v>58</v>
      </c>
      <c r="E40">
        <v>1484.4</v>
      </c>
      <c r="F40" t="s">
        <v>57</v>
      </c>
    </row>
    <row r="41" spans="1:6" x14ac:dyDescent="0.3">
      <c r="A41" t="s">
        <v>100</v>
      </c>
      <c r="B41" s="5">
        <v>44499.948564814818</v>
      </c>
      <c r="C41" t="s">
        <v>57</v>
      </c>
      <c r="D41" t="s">
        <v>58</v>
      </c>
      <c r="E41">
        <v>1400.4</v>
      </c>
      <c r="F41" t="s">
        <v>57</v>
      </c>
    </row>
    <row r="42" spans="1:6" x14ac:dyDescent="0.3">
      <c r="E42"/>
    </row>
    <row r="43" spans="1:6" x14ac:dyDescent="0.3">
      <c r="E43"/>
    </row>
    <row r="44" spans="1:6" x14ac:dyDescent="0.3">
      <c r="E44"/>
    </row>
    <row r="45" spans="1:6" x14ac:dyDescent="0.3">
      <c r="A45" t="s">
        <v>94</v>
      </c>
      <c r="B45" s="5">
        <v>44499.40347222222</v>
      </c>
      <c r="C45" t="s">
        <v>57</v>
      </c>
      <c r="D45" t="s">
        <v>58</v>
      </c>
      <c r="E45" s="2">
        <v>1429.2</v>
      </c>
      <c r="F45" t="s">
        <v>57</v>
      </c>
    </row>
    <row r="46" spans="1:6" x14ac:dyDescent="0.3">
      <c r="A46" t="s">
        <v>90</v>
      </c>
      <c r="B46" s="5">
        <v>44498.831886574073</v>
      </c>
      <c r="C46" t="s">
        <v>57</v>
      </c>
      <c r="D46" t="s">
        <v>58</v>
      </c>
      <c r="E46" s="2">
        <v>1402.2</v>
      </c>
      <c r="F46" t="s">
        <v>57</v>
      </c>
    </row>
    <row r="47" spans="1:6" x14ac:dyDescent="0.3">
      <c r="A47" t="s">
        <v>89</v>
      </c>
      <c r="B47" s="5">
        <v>44498.714548611111</v>
      </c>
      <c r="C47" t="s">
        <v>57</v>
      </c>
      <c r="D47" t="s">
        <v>58</v>
      </c>
      <c r="E47">
        <v>1431.9</v>
      </c>
      <c r="F47" t="s">
        <v>57</v>
      </c>
    </row>
    <row r="48" spans="1:6" x14ac:dyDescent="0.3">
      <c r="A48" t="s">
        <v>87</v>
      </c>
      <c r="B48" s="5">
        <v>44498.589004629626</v>
      </c>
      <c r="C48" t="s">
        <v>57</v>
      </c>
      <c r="D48" t="s">
        <v>58</v>
      </c>
      <c r="E48">
        <v>1423.9</v>
      </c>
      <c r="F48" t="s">
        <v>57</v>
      </c>
    </row>
    <row r="49" spans="1:6" x14ac:dyDescent="0.3">
      <c r="A49" t="s">
        <v>86</v>
      </c>
      <c r="B49" s="5">
        <v>44498.3672337963</v>
      </c>
      <c r="C49" t="s">
        <v>57</v>
      </c>
      <c r="D49" t="s">
        <v>58</v>
      </c>
      <c r="E49">
        <v>1412.8</v>
      </c>
      <c r="F49" t="s">
        <v>57</v>
      </c>
    </row>
    <row r="50" spans="1:6" x14ac:dyDescent="0.3">
      <c r="A50" t="s">
        <v>85</v>
      </c>
      <c r="B50" s="5">
        <v>44498.287812499999</v>
      </c>
      <c r="C50" t="s">
        <v>57</v>
      </c>
      <c r="D50" t="s">
        <v>58</v>
      </c>
      <c r="E50">
        <v>1431.2</v>
      </c>
      <c r="F50" t="s">
        <v>57</v>
      </c>
    </row>
    <row r="51" spans="1:6" x14ac:dyDescent="0.3">
      <c r="A51" t="s">
        <v>84</v>
      </c>
      <c r="B51" s="5">
        <v>44497.889444444445</v>
      </c>
      <c r="C51" t="s">
        <v>57</v>
      </c>
      <c r="D51" t="s">
        <v>58</v>
      </c>
      <c r="E51">
        <v>1444</v>
      </c>
      <c r="F51" t="s">
        <v>57</v>
      </c>
    </row>
    <row r="53" spans="1:6" x14ac:dyDescent="0.3">
      <c r="B53" s="5"/>
    </row>
    <row r="55" spans="1:6" x14ac:dyDescent="0.3">
      <c r="B55" s="5"/>
    </row>
    <row r="57" spans="1:6" x14ac:dyDescent="0.3">
      <c r="B57" s="5"/>
    </row>
    <row r="59" spans="1:6" x14ac:dyDescent="0.3">
      <c r="B59" s="5"/>
    </row>
    <row r="61" spans="1:6" x14ac:dyDescent="0.3">
      <c r="B61" s="5"/>
    </row>
    <row r="63" spans="1:6" x14ac:dyDescent="0.3">
      <c r="B63" s="5"/>
    </row>
    <row r="65" spans="2:2" x14ac:dyDescent="0.3">
      <c r="B65" s="5"/>
    </row>
    <row r="67" spans="2:2" x14ac:dyDescent="0.3">
      <c r="B67" s="5"/>
    </row>
    <row r="69" spans="2:2" x14ac:dyDescent="0.3">
      <c r="B69" s="5"/>
    </row>
    <row r="71" spans="2:2" x14ac:dyDescent="0.3">
      <c r="B71" s="5"/>
    </row>
    <row r="73" spans="2:2" x14ac:dyDescent="0.3">
      <c r="B73" s="5"/>
    </row>
    <row r="75" spans="2:2" x14ac:dyDescent="0.3">
      <c r="B75" s="5"/>
    </row>
    <row r="77" spans="2:2" x14ac:dyDescent="0.3">
      <c r="B77" s="5"/>
    </row>
    <row r="79" spans="2:2" x14ac:dyDescent="0.3">
      <c r="B79" s="5"/>
    </row>
    <row r="81" spans="2:2" x14ac:dyDescent="0.3">
      <c r="B81" s="5"/>
    </row>
    <row r="83" spans="2:2" x14ac:dyDescent="0.3">
      <c r="B83" s="5"/>
    </row>
    <row r="85" spans="2:2" x14ac:dyDescent="0.3">
      <c r="B85" s="5"/>
    </row>
    <row r="87" spans="2:2" x14ac:dyDescent="0.3">
      <c r="B87" s="5"/>
    </row>
    <row r="89" spans="2:2" x14ac:dyDescent="0.3">
      <c r="B89" s="5"/>
    </row>
    <row r="91" spans="2:2" x14ac:dyDescent="0.3">
      <c r="B91" s="5"/>
    </row>
    <row r="93" spans="2:2" x14ac:dyDescent="0.3">
      <c r="B93" s="5"/>
    </row>
    <row r="95" spans="2:2" x14ac:dyDescent="0.3">
      <c r="B95" s="5"/>
    </row>
  </sheetData>
  <sortState xmlns:xlrd2="http://schemas.microsoft.com/office/spreadsheetml/2017/richdata2" ref="A2:F97">
    <sortCondition descending="1" ref="E1:E97"/>
  </sortState>
  <conditionalFormatting sqref="A1:A2 A26 A49:A50 A45:A46 A52:A1048576 A4 A7 A9:A10 A17:A22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EF88-9581-476F-9A82-89B7867E6C1B}">
  <sheetPr codeName="Sheet5"/>
  <dimension ref="A1:B2"/>
  <sheetViews>
    <sheetView workbookViewId="0">
      <selection activeCell="L19" sqref="L19"/>
    </sheetView>
  </sheetViews>
  <sheetFormatPr defaultRowHeight="14.4" x14ac:dyDescent="0.3"/>
  <cols>
    <col min="2" max="2" width="23.5546875" customWidth="1"/>
  </cols>
  <sheetData>
    <row r="1" spans="1:2" x14ac:dyDescent="0.3">
      <c r="A1" t="s">
        <v>82</v>
      </c>
    </row>
    <row r="2" spans="1:2" x14ac:dyDescent="0.3">
      <c r="B2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light</vt:lpstr>
      <vt:lpstr>imitate</vt:lpstr>
      <vt:lpstr>summary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vito</dc:creator>
  <cp:lastModifiedBy>vito</cp:lastModifiedBy>
  <dcterms:created xsi:type="dcterms:W3CDTF">2015-06-05T18:17:20Z</dcterms:created>
  <dcterms:modified xsi:type="dcterms:W3CDTF">2021-11-10T12:54:18Z</dcterms:modified>
</cp:coreProperties>
</file>